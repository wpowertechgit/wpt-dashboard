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OU DE BORD" sheetId="1" state="visible" r:id="rId1"/>
    <sheet xmlns:r="http://schemas.openxmlformats.org/officeDocument/2006/relationships" name="SUBANSAMBLURI" sheetId="2" state="visible" r:id="rId2"/>
    <sheet xmlns:r="http://schemas.openxmlformats.org/officeDocument/2006/relationships" name="BLOCAJE" sheetId="3" state="visible" r:id="rId3"/>
    <sheet xmlns:r="http://schemas.openxmlformats.org/officeDocument/2006/relationships" name="PDCA" sheetId="4" state="visible" r:id="rId4"/>
    <sheet xmlns:r="http://schemas.openxmlformats.org/officeDocument/2006/relationships" name="FLUX ZILNIC" sheetId="5" state="visible" r:id="rId5"/>
    <sheet xmlns:r="http://schemas.openxmlformats.org/officeDocument/2006/relationships" name="KPI ECHIPE" sheetId="6" state="visible" r:id="rId6"/>
    <sheet xmlns:r="http://schemas.openxmlformats.org/officeDocument/2006/relationships" name="PROIECTE" sheetId="7" state="visible" r:id="rId7"/>
    <sheet xmlns:r="http://schemas.openxmlformats.org/officeDocument/2006/relationships" name="GHID WHITEBOARD" sheetId="8" state="visible" r:id="rId8"/>
  </sheets>
  <definedNames>
    <definedName name="_xlnm.Print_Titles" localSheetId="1">'SUBANSAMBLURI'!$1:$3</definedName>
    <definedName name="_xlnm._FilterDatabase" localSheetId="2" hidden="1">'BLOCAJE'!$A$3:$L$100</definedName>
    <definedName name="_xlnm._FilterDatabase" localSheetId="3" hidden="1">'PDCA'!$A$3:$M$100</definedName>
    <definedName name="_xlnm._FilterDatabase" localSheetId="4" hidden="1">'FLUX ZILNIC'!$A$3:$I$200</definedName>
    <definedName name="_xlnm._FilterDatabase" localSheetId="5" hidden="1">'KPI ECHIPE'!$A$3:$J$100</definedName>
  </definedNames>
  <calcPr calcId="124519" fullCalcOnLoad="1"/>
</workbook>
</file>

<file path=xl/styles.xml><?xml version="1.0" encoding="utf-8"?>
<styleSheet xmlns="http://schemas.openxmlformats.org/spreadsheetml/2006/main">
  <numFmts count="4">
    <numFmt numFmtId="164" formatCode="yyyy-mm-dd"/>
    <numFmt numFmtId="165" formatCode="DD-MMM-YY"/>
    <numFmt numFmtId="166" formatCode="0.0"/>
    <numFmt numFmtId="167" formatCode="0.0%"/>
  </numFmts>
  <fonts count="50">
    <font>
      <name val="Calibri"/>
      <family val="2"/>
      <color theme="1"/>
      <sz val="11"/>
      <scheme val="minor"/>
    </font>
    <font>
      <name val="Arial"/>
      <b val="1"/>
      <color rgb="00FFFFFF"/>
      <sz val="14"/>
    </font>
    <font>
      <name val="Arial"/>
      <b val="1"/>
      <color rgb="00FFFFFF"/>
      <sz val="9"/>
    </font>
    <font>
      <name val="Arial"/>
      <b val="1"/>
      <color rgb="00FFFFFF"/>
      <sz val="10"/>
    </font>
    <font>
      <name val="Arial"/>
      <b val="1"/>
      <color rgb="00FFFFFF"/>
      <sz val="8"/>
    </font>
    <font>
      <name val="Arial"/>
      <b val="1"/>
      <color rgb="001F4E79"/>
      <sz val="9"/>
    </font>
    <font>
      <name val="Arial"/>
      <color rgb="00404040"/>
      <sz val="9"/>
    </font>
    <font>
      <name val="Arial"/>
      <color rgb="00000000"/>
      <sz val="9"/>
    </font>
    <font>
      <name val="Arial"/>
      <color rgb="00000000"/>
      <sz val="11"/>
    </font>
    <font>
      <name val="Arial"/>
      <b val="1"/>
      <color rgb="00000000"/>
      <sz val="9"/>
    </font>
    <font>
      <name val="Arial"/>
      <b val="1"/>
      <color rgb="00C00000"/>
      <sz val="9"/>
    </font>
    <font>
      <name val="Arial"/>
      <b val="1"/>
      <color rgb="00843C00"/>
      <sz val="9"/>
    </font>
    <font>
      <name val="Arial"/>
      <b val="1"/>
      <color rgb="00375623"/>
      <sz val="9"/>
    </font>
    <font>
      <name val="Arial"/>
      <color rgb="00404040"/>
      <sz val="8"/>
    </font>
    <font>
      <name val="Arial"/>
      <b val="1"/>
      <color rgb="00808080"/>
      <sz val="9"/>
    </font>
    <font>
      <name val="Arial"/>
      <b val="1"/>
      <color rgb="007D5A00"/>
      <sz val="9"/>
    </font>
    <font>
      <name val="Arial"/>
      <b val="1"/>
      <color rgb="00404040"/>
      <sz val="9"/>
    </font>
    <font>
      <name val="Arial"/>
      <b val="1"/>
      <color rgb="00FFFFFF"/>
      <sz val="20"/>
    </font>
    <font>
      <name val="Arial"/>
      <color rgb="00FFFFFF"/>
      <sz val="11"/>
    </font>
    <font>
      <name val="Arial"/>
      <b val="1"/>
      <i val="1"/>
      <color rgb="00FFFFFF"/>
      <sz val="11"/>
    </font>
    <font>
      <name val="Arial"/>
      <b val="1"/>
      <color rgb="00FFFFFF"/>
      <sz val="28"/>
    </font>
    <font>
      <name val="Arial"/>
      <b val="1"/>
      <color rgb="00375623"/>
      <sz val="8"/>
    </font>
    <font>
      <name val="Arial"/>
      <b val="1"/>
      <color rgb="00375623"/>
      <sz val="24"/>
    </font>
    <font>
      <name val="Arial"/>
      <b val="1"/>
      <color rgb="00FFFFFF"/>
      <sz val="24"/>
    </font>
    <font>
      <name val="Arial"/>
      <b val="1"/>
      <color rgb="00FFFFFF"/>
      <sz val="11"/>
    </font>
    <font>
      <name val="Arial"/>
      <b val="1"/>
      <color rgb="00000000"/>
      <sz val="8"/>
    </font>
    <font>
      <name val="Arial"/>
      <b val="1"/>
      <color rgb="001F4E79"/>
      <sz val="11"/>
    </font>
    <font>
      <name val="Arial"/>
      <b val="1"/>
      <color rgb="00375623"/>
      <sz val="11"/>
    </font>
    <font>
      <name val="Arial"/>
      <b val="1"/>
      <color rgb="007D5A00"/>
      <sz val="8"/>
    </font>
    <font>
      <name val="Arial"/>
      <b val="1"/>
      <color rgb="00843C00"/>
      <sz val="8"/>
    </font>
    <font>
      <name val="Arial"/>
      <b val="1"/>
      <color rgb="00C00000"/>
      <sz val="8"/>
    </font>
    <font>
      <name val="Arial"/>
      <b val="1"/>
      <color rgb="00C00000"/>
      <sz val="11"/>
    </font>
    <font>
      <name val="Arial"/>
      <color rgb="00375623"/>
      <sz val="9"/>
    </font>
    <font>
      <name val="Arial"/>
      <color rgb="00808080"/>
      <sz val="9"/>
    </font>
    <font>
      <name val="Arial"/>
      <color rgb="007D5A00"/>
      <sz val="9"/>
    </font>
    <font>
      <name val="Arial"/>
      <b val="1"/>
      <i val="1"/>
      <color rgb="00C00000"/>
      <sz val="10"/>
    </font>
    <font>
      <name val="Arial"/>
      <b val="1"/>
      <color rgb="00843C00"/>
      <sz val="10"/>
    </font>
    <font>
      <name val="Arial"/>
      <b val="1"/>
      <color rgb="00375623"/>
      <sz val="10"/>
    </font>
    <font>
      <name val="Arial"/>
      <b val="1"/>
      <color rgb="007030A0"/>
      <sz val="9"/>
    </font>
    <font>
      <name val="Arial"/>
      <color rgb="00000000"/>
      <sz val="8"/>
    </font>
    <font>
      <name val="Arial"/>
      <b val="1"/>
      <color rgb="00ED7D31"/>
      <sz val="9"/>
    </font>
    <font>
      <name val="Arial"/>
      <b val="1"/>
      <color rgb="0070AD47"/>
      <sz val="9"/>
    </font>
    <font>
      <name val="Arial"/>
      <i val="1"/>
      <color rgb="001F4E79"/>
      <sz val="9"/>
    </font>
    <font>
      <name val="Arial"/>
      <b val="1"/>
      <color rgb="002E75B6"/>
      <sz val="9"/>
    </font>
    <font>
      <name val="Arial"/>
      <b val="1"/>
      <color rgb="007D5A00"/>
      <sz val="10"/>
    </font>
    <font>
      <name val="Arial"/>
      <b val="1"/>
      <color rgb="00C00000"/>
      <sz val="10"/>
    </font>
    <font>
      <name val="Arial"/>
      <b val="1"/>
      <color rgb="001F4E79"/>
      <sz val="10"/>
    </font>
    <font>
      <name val="Arial"/>
      <color rgb="00000000"/>
      <sz val="10"/>
    </font>
    <font>
      <name val="Arial"/>
      <color rgb="00404040"/>
      <sz val="10"/>
    </font>
    <font>
      <name val="Arial"/>
      <color rgb="001F77B4"/>
      <sz val="8"/>
    </font>
  </fonts>
  <fills count="21">
    <fill>
      <patternFill/>
    </fill>
    <fill>
      <patternFill patternType="gray125"/>
    </fill>
    <fill>
      <patternFill patternType="solid">
        <fgColor rgb="001F4E79"/>
      </patternFill>
    </fill>
    <fill>
      <patternFill patternType="solid">
        <fgColor rgb="002E75B6"/>
      </patternFill>
    </fill>
    <fill>
      <patternFill patternType="solid">
        <fgColor rgb="007030A0"/>
      </patternFill>
    </fill>
    <fill>
      <patternFill patternType="solid">
        <fgColor rgb="00ED7D31"/>
      </patternFill>
    </fill>
    <fill>
      <patternFill patternType="solid">
        <fgColor rgb="0070AD47"/>
      </patternFill>
    </fill>
    <fill>
      <patternFill patternType="solid">
        <fgColor rgb="007D5A00"/>
      </patternFill>
    </fill>
    <fill>
      <patternFill patternType="solid">
        <fgColor rgb="00FFFFFF"/>
      </patternFill>
    </fill>
    <fill>
      <patternFill patternType="solid">
        <fgColor rgb="00E2EFDA"/>
      </patternFill>
    </fill>
    <fill>
      <patternFill patternType="solid">
        <fgColor rgb="00F5F5F5"/>
      </patternFill>
    </fill>
    <fill>
      <patternFill patternType="solid">
        <fgColor rgb="00FFEB9C"/>
      </patternFill>
    </fill>
    <fill>
      <patternFill patternType="solid">
        <fgColor rgb="00D9D9D9"/>
      </patternFill>
    </fill>
    <fill>
      <patternFill patternType="solid">
        <fgColor rgb="00FFC7CE"/>
      </patternFill>
    </fill>
    <fill>
      <patternFill patternType="solid">
        <fgColor rgb="00DEEAF1"/>
      </patternFill>
    </fill>
    <fill>
      <patternFill patternType="solid">
        <fgColor rgb="00375623"/>
      </patternFill>
    </fill>
    <fill>
      <patternFill patternType="solid">
        <fgColor rgb="00C00000"/>
      </patternFill>
    </fill>
    <fill>
      <patternFill patternType="solid">
        <fgColor rgb="00FCE4D6"/>
      </patternFill>
    </fill>
    <fill>
      <patternFill patternType="solid">
        <fgColor rgb="00404040"/>
      </patternFill>
    </fill>
    <fill>
      <patternFill patternType="solid">
        <fgColor rgb="00EAD1F5"/>
      </patternFill>
    </fill>
    <fill>
      <patternFill patternType="solid">
        <fgColor rgb="00BDD7EE"/>
      </patternFill>
    </fill>
  </fills>
  <borders count="9">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
      <left style="medium">
        <color rgb="00000000"/>
      </left>
      <right style="medium">
        <color rgb="00000000"/>
      </right>
      <top style="thin">
        <color rgb="00000000"/>
      </top>
      <bottom style="thin">
        <color rgb="00000000"/>
      </bottom>
    </border>
    <border>
      <left/>
      <right style="medium">
        <color rgb="00000000"/>
      </right>
      <top style="thin">
        <color rgb="00000000"/>
      </top>
      <bottom/>
      <diagonal/>
    </border>
    <border>
      <left/>
      <right style="medium">
        <color rgb="00000000"/>
      </right>
      <top style="thin">
        <color rgb="00000000"/>
      </top>
      <bottom style="thin">
        <color rgb="00000000"/>
      </bottom>
      <diagonal/>
    </border>
  </borders>
  <cellStyleXfs count="1">
    <xf numFmtId="0" fontId="0" fillId="0" borderId="0"/>
  </cellStyleXfs>
  <cellXfs count="158">
    <xf numFmtId="0" fontId="0" fillId="0" borderId="0" pivotButton="0" quotePrefix="0" xfId="0"/>
    <xf numFmtId="0" fontId="17" fillId="2" borderId="0" applyAlignment="1" pivotButton="0" quotePrefix="0" xfId="0">
      <alignment horizontal="center" vertical="center"/>
    </xf>
    <xf numFmtId="0" fontId="18" fillId="3" borderId="0" applyAlignment="1" pivotButton="0" quotePrefix="0" xfId="0">
      <alignment horizontal="center" vertical="center"/>
    </xf>
    <xf numFmtId="0" fontId="19" fillId="3" borderId="0" applyAlignment="1" pivotButton="0" quotePrefix="0" xfId="0">
      <alignment horizontal="center" vertical="center"/>
    </xf>
    <xf numFmtId="0" fontId="4" fillId="3" borderId="1" applyAlignment="1" pivotButton="0" quotePrefix="0" xfId="0">
      <alignment horizontal="center" vertical="center"/>
    </xf>
    <xf numFmtId="0" fontId="0" fillId="0" borderId="4" pivotButton="0" quotePrefix="0" xfId="0"/>
    <xf numFmtId="0" fontId="0" fillId="0" borderId="5" pivotButton="0" quotePrefix="0" xfId="0"/>
    <xf numFmtId="0" fontId="4" fillId="15" borderId="1" applyAlignment="1" pivotButton="0" quotePrefix="0" xfId="0">
      <alignment horizontal="center" vertical="center"/>
    </xf>
    <xf numFmtId="0" fontId="4" fillId="7" borderId="1" applyAlignment="1" pivotButton="0" quotePrefix="0" xfId="0">
      <alignment horizontal="center" vertical="center"/>
    </xf>
    <xf numFmtId="0" fontId="4" fillId="16" borderId="1" applyAlignment="1" pivotButton="0" quotePrefix="0" xfId="0">
      <alignment horizontal="center" vertical="center"/>
    </xf>
    <xf numFmtId="0" fontId="20" fillId="3" borderId="1" applyAlignment="1" pivotButton="0" quotePrefix="0" xfId="0">
      <alignment horizontal="center" vertical="center"/>
    </xf>
    <xf numFmtId="0" fontId="20" fillId="15" borderId="1" applyAlignment="1" pivotButton="0" quotePrefix="0" xfId="0">
      <alignment horizontal="center" vertical="center"/>
    </xf>
    <xf numFmtId="0" fontId="20" fillId="7" borderId="1" applyAlignment="1" pivotButton="0" quotePrefix="0" xfId="0">
      <alignment horizontal="center" vertical="center"/>
    </xf>
    <xf numFmtId="0" fontId="20" fillId="16" borderId="1" applyAlignment="1" pivotButton="0" quotePrefix="0" xfId="0">
      <alignment horizontal="center" vertical="center"/>
    </xf>
    <xf numFmtId="0" fontId="0" fillId="3" borderId="1" pivotButton="0" quotePrefix="0" xfId="0"/>
    <xf numFmtId="0" fontId="0" fillId="15" borderId="1" pivotButton="0" quotePrefix="0" xfId="0"/>
    <xf numFmtId="0" fontId="0" fillId="7" borderId="1" pivotButton="0" quotePrefix="0" xfId="0"/>
    <xf numFmtId="0" fontId="0" fillId="16" borderId="1" pivotButton="0" quotePrefix="0" xfId="0"/>
    <xf numFmtId="0" fontId="21" fillId="6" borderId="1" applyAlignment="1" pivotButton="0" quotePrefix="0" xfId="0">
      <alignment horizontal="center" vertical="center"/>
    </xf>
    <xf numFmtId="0" fontId="4" fillId="5" borderId="1" applyAlignment="1" pivotButton="0" quotePrefix="0" xfId="0">
      <alignment horizontal="center" vertical="center"/>
    </xf>
    <xf numFmtId="0" fontId="22" fillId="6" borderId="1" applyAlignment="1" pivotButton="0" quotePrefix="0" xfId="0">
      <alignment horizontal="center" vertical="center"/>
    </xf>
    <xf numFmtId="0" fontId="23" fillId="3" borderId="1" applyAlignment="1" pivotButton="0" quotePrefix="0" xfId="0">
      <alignment horizontal="center" vertical="center"/>
    </xf>
    <xf numFmtId="0" fontId="23" fillId="5" borderId="1" applyAlignment="1" pivotButton="0" quotePrefix="0" xfId="0">
      <alignment horizontal="center" vertical="center"/>
    </xf>
    <xf numFmtId="0" fontId="23" fillId="16" borderId="1" applyAlignment="1" pivotButton="0" quotePrefix="0" xfId="0">
      <alignment horizontal="center" vertical="center"/>
    </xf>
    <xf numFmtId="0" fontId="0" fillId="6" borderId="1" pivotButton="0" quotePrefix="0" xfId="0"/>
    <xf numFmtId="0" fontId="0" fillId="5" borderId="1" pivotButton="0" quotePrefix="0" xfId="0"/>
    <xf numFmtId="0" fontId="24" fillId="2" borderId="6" applyAlignment="1" pivotButton="0" quotePrefix="0" xfId="0">
      <alignment horizontal="left" vertical="center"/>
    </xf>
    <xf numFmtId="0" fontId="4" fillId="2" borderId="1" applyAlignment="1" pivotButton="0" quotePrefix="0" xfId="0">
      <alignment horizontal="center" vertical="center"/>
    </xf>
    <xf numFmtId="0" fontId="4" fillId="4" borderId="1" applyAlignment="1" pivotButton="0" quotePrefix="0" xfId="0">
      <alignment horizontal="center" vertical="center"/>
    </xf>
    <xf numFmtId="0" fontId="4" fillId="6" borderId="1" applyAlignment="1" pivotButton="0" quotePrefix="0" xfId="0">
      <alignment horizontal="center" vertical="center"/>
    </xf>
    <xf numFmtId="0" fontId="25" fillId="7" borderId="1" applyAlignment="1" pivotButton="0" quotePrefix="0" xfId="0">
      <alignment horizontal="center" vertical="center"/>
    </xf>
    <xf numFmtId="0" fontId="5" fillId="8" borderId="1" applyAlignment="1" pivotButton="0" quotePrefix="0" xfId="0">
      <alignment horizontal="center" vertical="center"/>
    </xf>
    <xf numFmtId="0" fontId="6" fillId="8" borderId="1" applyAlignment="1" pivotButton="0" quotePrefix="0" xfId="0">
      <alignment horizontal="center" vertical="center"/>
    </xf>
    <xf numFmtId="0" fontId="7" fillId="8" borderId="1" applyAlignment="1" pivotButton="0" quotePrefix="0" xfId="0">
      <alignment horizontal="center" vertical="center"/>
    </xf>
    <xf numFmtId="0" fontId="21" fillId="9" borderId="1" applyAlignment="1" pivotButton="0" quotePrefix="0" xfId="0">
      <alignment horizontal="center" vertical="center" wrapText="1"/>
    </xf>
    <xf numFmtId="9" fontId="26" fillId="8" borderId="1" applyAlignment="1" pivotButton="0" quotePrefix="0" xfId="0">
      <alignment horizontal="center" vertical="center"/>
    </xf>
    <xf numFmtId="0" fontId="21" fillId="9" borderId="1" applyAlignment="1" pivotButton="0" quotePrefix="0" xfId="0">
      <alignment horizontal="center" vertical="center"/>
    </xf>
    <xf numFmtId="0" fontId="27" fillId="9" borderId="1" applyAlignment="1" pivotButton="0" quotePrefix="0" xfId="0">
      <alignment horizontal="center" vertical="center"/>
    </xf>
    <xf numFmtId="0" fontId="28" fillId="11" borderId="1" applyAlignment="1" pivotButton="0" quotePrefix="0" xfId="0">
      <alignment horizontal="center" vertical="center" wrapText="1"/>
    </xf>
    <xf numFmtId="0" fontId="28" fillId="11" borderId="1" applyAlignment="1" pivotButton="0" quotePrefix="0" xfId="0">
      <alignment horizontal="center" vertical="center"/>
    </xf>
    <xf numFmtId="0" fontId="29" fillId="17" borderId="1" applyAlignment="1" pivotButton="0" quotePrefix="0" xfId="0">
      <alignment horizontal="center" vertical="center" wrapText="1"/>
    </xf>
    <xf numFmtId="0" fontId="30" fillId="13" borderId="1" applyAlignment="1" pivotButton="0" quotePrefix="0" xfId="0">
      <alignment horizontal="center" vertical="center"/>
    </xf>
    <xf numFmtId="0" fontId="31" fillId="13" borderId="1" applyAlignment="1" pivotButton="0" quotePrefix="0" xfId="0">
      <alignment horizontal="center" vertical="center"/>
    </xf>
    <xf numFmtId="0" fontId="24" fillId="16" borderId="6" applyAlignment="1" pivotButton="0" quotePrefix="0" xfId="0">
      <alignment horizontal="left" vertical="center"/>
    </xf>
    <xf numFmtId="0" fontId="2" fillId="2" borderId="1" applyAlignment="1" pivotButton="0" quotePrefix="0" xfId="0">
      <alignment horizontal="center" vertical="center"/>
    </xf>
    <xf numFmtId="0" fontId="2" fillId="16" borderId="1" applyAlignment="1" pivotButton="0" quotePrefix="0" xfId="0">
      <alignment horizontal="center" vertical="center"/>
    </xf>
    <xf numFmtId="0" fontId="2" fillId="5" borderId="1" applyAlignment="1" pivotButton="0" quotePrefix="0" xfId="0">
      <alignment horizontal="center" vertical="center"/>
    </xf>
    <xf numFmtId="0" fontId="2" fillId="3" borderId="1" applyAlignment="1" pivotButton="0" quotePrefix="0" xfId="0">
      <alignment horizontal="center" vertical="center"/>
    </xf>
    <xf numFmtId="0" fontId="32" fillId="9" borderId="1" applyAlignment="1" pivotButton="0" quotePrefix="0" xfId="0">
      <alignment horizontal="center" vertical="center"/>
    </xf>
    <xf numFmtId="0" fontId="33" fillId="10" borderId="1" applyAlignment="1" pivotButton="0" quotePrefix="0" xfId="0">
      <alignment horizontal="center" vertical="center"/>
    </xf>
    <xf numFmtId="0" fontId="2" fillId="4" borderId="1" applyAlignment="1" pivotButton="0" quotePrefix="0" xfId="0">
      <alignment horizontal="center" vertical="center"/>
    </xf>
    <xf numFmtId="0" fontId="10" fillId="13" borderId="1" applyAlignment="1" pivotButton="0" quotePrefix="0" xfId="0">
      <alignment horizontal="center" vertical="center"/>
    </xf>
    <xf numFmtId="0" fontId="2" fillId="6" borderId="1" applyAlignment="1" pivotButton="0" quotePrefix="0" xfId="0">
      <alignment horizontal="center" vertical="center"/>
    </xf>
    <xf numFmtId="0" fontId="34" fillId="11" borderId="1" applyAlignment="1" pivotButton="0" quotePrefix="0" xfId="0">
      <alignment horizontal="center" vertical="center"/>
    </xf>
    <xf numFmtId="0" fontId="2" fillId="7" borderId="1" applyAlignment="1" pivotButton="0" quotePrefix="0" xfId="0">
      <alignment horizontal="center" vertical="center"/>
    </xf>
    <xf numFmtId="0" fontId="4" fillId="18" borderId="1" applyAlignment="1" pivotButton="0" quotePrefix="0" xfId="0">
      <alignment horizontal="center" vertical="center"/>
    </xf>
    <xf numFmtId="0" fontId="13" fillId="10" borderId="1" applyAlignment="1" pivotButton="0" quotePrefix="0" xfId="0">
      <alignment horizontal="left" vertical="center"/>
    </xf>
    <xf numFmtId="164" fontId="13" fillId="8" borderId="1" applyAlignment="1" pivotButton="0" quotePrefix="0" xfId="0">
      <alignment horizontal="left" vertical="center"/>
    </xf>
    <xf numFmtId="0" fontId="13" fillId="8" borderId="1" applyAlignment="1" pivotButton="0" quotePrefix="0" xfId="0">
      <alignment horizontal="left" vertical="center"/>
    </xf>
    <xf numFmtId="0" fontId="13" fillId="8" borderId="1" applyAlignment="1" pivotButton="0" quotePrefix="0" xfId="0">
      <alignment horizontal="left" vertical="center" wrapText="1"/>
    </xf>
    <xf numFmtId="0" fontId="29" fillId="17" borderId="1" applyAlignment="1" pivotButton="0" quotePrefix="0" xfId="0">
      <alignment horizontal="center" vertical="center"/>
    </xf>
    <xf numFmtId="0" fontId="1" fillId="2" borderId="0" applyAlignment="1" pivotButton="0" quotePrefix="0" xfId="0">
      <alignment horizontal="center" vertical="center"/>
    </xf>
    <xf numFmtId="0" fontId="3" fillId="3" borderId="6" applyAlignment="1" pivotButton="0" quotePrefix="0" xfId="0">
      <alignment horizontal="center" vertical="center"/>
    </xf>
    <xf numFmtId="0" fontId="3" fillId="4" borderId="6" applyAlignment="1" pivotButton="0" quotePrefix="0" xfId="0">
      <alignment horizontal="center" vertical="center"/>
    </xf>
    <xf numFmtId="0" fontId="3" fillId="5" borderId="6" applyAlignment="1" pivotButton="0" quotePrefix="0" xfId="0">
      <alignment horizontal="center" vertical="center"/>
    </xf>
    <xf numFmtId="0" fontId="3" fillId="6" borderId="6" applyAlignment="1" pivotButton="0" quotePrefix="0" xfId="0">
      <alignment horizontal="center" vertical="center"/>
    </xf>
    <xf numFmtId="0" fontId="3" fillId="7" borderId="6" applyAlignment="1" pivotButton="0" quotePrefix="0" xfId="0">
      <alignment horizontal="center" vertical="center"/>
    </xf>
    <xf numFmtId="0" fontId="5" fillId="14" borderId="1" applyAlignment="1" pivotButton="0" quotePrefix="0" xfId="0">
      <alignment horizontal="left" vertical="center"/>
    </xf>
    <xf numFmtId="0" fontId="6" fillId="14" borderId="1" applyAlignment="1" pivotButton="0" quotePrefix="0" xfId="0">
      <alignment horizontal="center" vertical="center"/>
    </xf>
    <xf numFmtId="0" fontId="7" fillId="14" borderId="1" applyAlignment="1" pivotButton="0" quotePrefix="0" xfId="0">
      <alignment horizontal="left" vertical="center"/>
    </xf>
    <xf numFmtId="0" fontId="8" fillId="14" borderId="1" applyAlignment="1" pivotButton="0" quotePrefix="0" xfId="0">
      <alignment horizontal="center" vertical="center"/>
    </xf>
    <xf numFmtId="0" fontId="9" fillId="8" borderId="1" applyAlignment="1" pivotButton="0" quotePrefix="0" xfId="0">
      <alignment horizontal="center" vertical="center"/>
    </xf>
    <xf numFmtId="9" fontId="7" fillId="8" borderId="1" applyAlignment="1" pivotButton="0" quotePrefix="0" xfId="0">
      <alignment horizontal="center" vertical="center"/>
    </xf>
    <xf numFmtId="0" fontId="10" fillId="8" borderId="1" applyAlignment="1" pivotButton="0" quotePrefix="0" xfId="0">
      <alignment horizontal="center" vertical="center"/>
    </xf>
    <xf numFmtId="0" fontId="11" fillId="8" borderId="1" applyAlignment="1" pivotButton="0" quotePrefix="0" xfId="0">
      <alignment horizontal="center" vertical="center"/>
    </xf>
    <xf numFmtId="0" fontId="12" fillId="9" borderId="1" applyAlignment="1" pivotButton="0" quotePrefix="0" xfId="0">
      <alignment horizontal="center" vertical="center"/>
    </xf>
    <xf numFmtId="0" fontId="6" fillId="8" borderId="1" applyAlignment="1" pivotButton="0" quotePrefix="0" xfId="0">
      <alignment horizontal="left" vertical="center"/>
    </xf>
    <xf numFmtId="0" fontId="14" fillId="10" borderId="1" applyAlignment="1" pivotButton="0" quotePrefix="0" xfId="0">
      <alignment horizontal="center" vertical="center"/>
    </xf>
    <xf numFmtId="0" fontId="5" fillId="10" borderId="1" applyAlignment="1" pivotButton="0" quotePrefix="0" xfId="0">
      <alignment horizontal="left" vertical="center"/>
    </xf>
    <xf numFmtId="0" fontId="6" fillId="10" borderId="1" applyAlignment="1" pivotButton="0" quotePrefix="0" xfId="0">
      <alignment horizontal="center" vertical="center"/>
    </xf>
    <xf numFmtId="0" fontId="7" fillId="10" borderId="1" applyAlignment="1" pivotButton="0" quotePrefix="0" xfId="0">
      <alignment horizontal="left" vertical="center"/>
    </xf>
    <xf numFmtId="0" fontId="8" fillId="10" borderId="1" applyAlignment="1" pivotButton="0" quotePrefix="0" xfId="0">
      <alignment horizontal="center" vertical="center"/>
    </xf>
    <xf numFmtId="0" fontId="15" fillId="11" borderId="1" applyAlignment="1" pivotButton="0" quotePrefix="0" xfId="0">
      <alignment horizontal="center" vertical="center"/>
    </xf>
    <xf numFmtId="0" fontId="16" fillId="12" borderId="1" applyAlignment="1" pivotButton="0" quotePrefix="0" xfId="0">
      <alignment horizontal="center" vertical="center"/>
    </xf>
    <xf numFmtId="0" fontId="1" fillId="16" borderId="0" applyAlignment="1" pivotButton="0" quotePrefix="0" xfId="0">
      <alignment horizontal="center" vertical="center"/>
    </xf>
    <xf numFmtId="0" fontId="35" fillId="13" borderId="0" applyAlignment="1" pivotButton="0" quotePrefix="0" xfId="0">
      <alignment horizontal="center" vertical="center"/>
    </xf>
    <xf numFmtId="0" fontId="2" fillId="18" borderId="1" applyAlignment="1" pivotButton="0" quotePrefix="0" xfId="0">
      <alignment horizontal="center" vertical="center"/>
    </xf>
    <xf numFmtId="0" fontId="10" fillId="13" borderId="1" applyAlignment="1" pivotButton="0" quotePrefix="0" xfId="0">
      <alignment horizontal="left" vertical="center"/>
    </xf>
    <xf numFmtId="165" fontId="6" fillId="8" borderId="1" applyAlignment="1" pivotButton="0" quotePrefix="0" xfId="0">
      <alignment horizontal="center" vertical="center"/>
    </xf>
    <xf numFmtId="0" fontId="5" fillId="8" borderId="1" applyAlignment="1" pivotButton="0" quotePrefix="0" xfId="0">
      <alignment horizontal="left" vertical="center"/>
    </xf>
    <xf numFmtId="0" fontId="7" fillId="8" borderId="1" applyAlignment="1" pivotButton="0" quotePrefix="0" xfId="0">
      <alignment horizontal="left" vertical="center"/>
    </xf>
    <xf numFmtId="0" fontId="7" fillId="8" borderId="1" applyAlignment="1" pivotButton="0" quotePrefix="0" xfId="0">
      <alignment horizontal="left" vertical="center" wrapText="1"/>
    </xf>
    <xf numFmtId="0" fontId="11" fillId="17" borderId="1" applyAlignment="1" pivotButton="0" quotePrefix="0" xfId="0">
      <alignment horizontal="center" vertical="center"/>
    </xf>
    <xf numFmtId="0" fontId="36" fillId="17" borderId="1" applyAlignment="1" pivotButton="0" quotePrefix="0" xfId="0">
      <alignment horizontal="center" vertical="center"/>
    </xf>
    <xf numFmtId="0" fontId="12" fillId="9" borderId="1" applyAlignment="1" pivotButton="0" quotePrefix="0" xfId="0">
      <alignment horizontal="left" vertical="center"/>
    </xf>
    <xf numFmtId="0" fontId="37" fillId="9" borderId="1" applyAlignment="1" pivotButton="0" quotePrefix="0" xfId="0">
      <alignment horizontal="center" vertical="center"/>
    </xf>
    <xf numFmtId="0" fontId="1" fillId="4" borderId="0" applyAlignment="1" pivotButton="0" quotePrefix="0" xfId="0">
      <alignment horizontal="center" vertical="center"/>
    </xf>
    <xf numFmtId="0" fontId="24" fillId="4" borderId="0" applyAlignment="1" pivotButton="0" quotePrefix="0" xfId="0">
      <alignment horizontal="center" vertical="center"/>
    </xf>
    <xf numFmtId="0" fontId="24" fillId="6" borderId="0" applyAlignment="1" pivotButton="0" quotePrefix="0" xfId="0">
      <alignment horizontal="center" vertical="center"/>
    </xf>
    <xf numFmtId="0" fontId="24" fillId="7" borderId="0" applyAlignment="1" pivotButton="0" quotePrefix="0" xfId="0">
      <alignment horizontal="center" vertical="center"/>
    </xf>
    <xf numFmtId="0" fontId="24" fillId="5" borderId="0" applyAlignment="1" pivotButton="0" quotePrefix="0" xfId="0">
      <alignment horizontal="center" vertical="center"/>
    </xf>
    <xf numFmtId="0" fontId="38" fillId="19" borderId="1" applyAlignment="1" pivotButton="0" quotePrefix="0" xfId="0">
      <alignment horizontal="center" vertical="center"/>
    </xf>
    <xf numFmtId="0" fontId="13" fillId="8" borderId="1" applyAlignment="1" pivotButton="0" quotePrefix="0" xfId="0">
      <alignment horizontal="center" vertical="center"/>
    </xf>
    <xf numFmtId="0" fontId="39" fillId="8" borderId="1" applyAlignment="1" pivotButton="0" quotePrefix="0" xfId="0">
      <alignment horizontal="left" vertical="center" wrapText="1"/>
    </xf>
    <xf numFmtId="0" fontId="5" fillId="14" borderId="1" applyAlignment="1" pivotButton="0" quotePrefix="0" xfId="0">
      <alignment horizontal="center" vertical="center"/>
    </xf>
    <xf numFmtId="0" fontId="1" fillId="6" borderId="0" applyAlignment="1" pivotButton="0" quotePrefix="0" xfId="0">
      <alignment horizontal="center" vertical="center"/>
    </xf>
    <xf numFmtId="165" fontId="6" fillId="9" borderId="1" applyAlignment="1" pivotButton="0" quotePrefix="0" xfId="0">
      <alignment horizontal="center" vertical="center"/>
    </xf>
    <xf numFmtId="0" fontId="5" fillId="9" borderId="1" applyAlignment="1" pivotButton="0" quotePrefix="0" xfId="0">
      <alignment horizontal="left" vertical="center"/>
    </xf>
    <xf numFmtId="0" fontId="7" fillId="9" borderId="1" applyAlignment="1" pivotButton="0" quotePrefix="0" xfId="0">
      <alignment horizontal="left" vertical="center"/>
    </xf>
    <xf numFmtId="0" fontId="40" fillId="17" borderId="1" applyAlignment="1" pivotButton="0" quotePrefix="0" xfId="0">
      <alignment horizontal="center" vertical="center"/>
    </xf>
    <xf numFmtId="0" fontId="41" fillId="9" borderId="1" applyAlignment="1" pivotButton="0" quotePrefix="0" xfId="0">
      <alignment horizontal="center" vertical="center"/>
    </xf>
    <xf numFmtId="0" fontId="6" fillId="9" borderId="1" applyAlignment="1" pivotButton="0" quotePrefix="0" xfId="0">
      <alignment horizontal="left" vertical="center"/>
    </xf>
    <xf numFmtId="0" fontId="5" fillId="9" borderId="1" applyAlignment="1" pivotButton="0" quotePrefix="0" xfId="0">
      <alignment horizontal="center" vertical="center"/>
    </xf>
    <xf numFmtId="0" fontId="6" fillId="9" borderId="1" applyAlignment="1" pivotButton="0" quotePrefix="0" xfId="0">
      <alignment horizontal="center" vertical="center"/>
    </xf>
    <xf numFmtId="0" fontId="13" fillId="9" borderId="1" applyAlignment="1" pivotButton="0" quotePrefix="0" xfId="0">
      <alignment horizontal="left" vertical="center" wrapText="1"/>
    </xf>
    <xf numFmtId="0" fontId="6" fillId="10" borderId="1" applyAlignment="1" pivotButton="0" quotePrefix="0" xfId="0">
      <alignment horizontal="left" vertical="center"/>
    </xf>
    <xf numFmtId="0" fontId="1" fillId="3" borderId="0" applyAlignment="1" pivotButton="0" quotePrefix="0" xfId="0">
      <alignment horizontal="center" vertical="center"/>
    </xf>
    <xf numFmtId="0" fontId="42" fillId="20" borderId="0" applyAlignment="1" pivotButton="0" quotePrefix="0" xfId="0">
      <alignment horizontal="center" vertical="center"/>
    </xf>
    <xf numFmtId="0" fontId="16" fillId="10" borderId="1" applyAlignment="1" pivotButton="0" quotePrefix="0" xfId="0">
      <alignment horizontal="center" vertical="center"/>
    </xf>
    <xf numFmtId="0" fontId="43" fillId="14" borderId="1" applyAlignment="1" pivotButton="0" quotePrefix="0" xfId="0">
      <alignment horizontal="center" vertical="center"/>
    </xf>
    <xf numFmtId="9" fontId="44" fillId="11" borderId="1" applyAlignment="1" pivotButton="0" quotePrefix="0" xfId="0">
      <alignment horizontal="center" vertical="center"/>
    </xf>
    <xf numFmtId="166" fontId="6" fillId="8" borderId="1" applyAlignment="1" pivotButton="0" quotePrefix="0" xfId="0">
      <alignment horizontal="center" vertical="center"/>
    </xf>
    <xf numFmtId="9" fontId="37" fillId="9" borderId="1" applyAlignment="1" pivotButton="0" quotePrefix="0" xfId="0">
      <alignment horizontal="center" vertical="center"/>
    </xf>
    <xf numFmtId="9" fontId="45" fillId="13" borderId="1" applyAlignment="1" pivotButton="0" quotePrefix="0" xfId="0">
      <alignment horizontal="center" vertical="center"/>
    </xf>
    <xf numFmtId="0" fontId="46" fillId="14" borderId="1" applyAlignment="1" pivotButton="0" quotePrefix="0" xfId="0">
      <alignment horizontal="left" vertical="center"/>
    </xf>
    <xf numFmtId="0" fontId="47" fillId="14" borderId="1" applyAlignment="1" pivotButton="0" quotePrefix="0" xfId="0">
      <alignment horizontal="left" vertical="center"/>
    </xf>
    <xf numFmtId="0" fontId="48" fillId="14" borderId="1" applyAlignment="1" pivotButton="0" quotePrefix="0" xfId="0">
      <alignment horizontal="left" vertical="center"/>
    </xf>
    <xf numFmtId="0" fontId="47" fillId="14" borderId="1" applyAlignment="1" pivotButton="0" quotePrefix="0" xfId="0">
      <alignment horizontal="center" vertical="center"/>
    </xf>
    <xf numFmtId="165" fontId="6" fillId="14" borderId="1" applyAlignment="1" pivotButton="0" quotePrefix="0" xfId="0">
      <alignment horizontal="center" vertical="center"/>
    </xf>
    <xf numFmtId="167" fontId="27" fillId="9" borderId="1" applyAlignment="1" pivotButton="0" quotePrefix="0" xfId="0">
      <alignment horizontal="center" vertical="center"/>
    </xf>
    <xf numFmtId="0" fontId="13" fillId="14" borderId="1" applyAlignment="1" pivotButton="0" quotePrefix="0" xfId="0">
      <alignment horizontal="left" vertical="center" wrapText="1"/>
    </xf>
    <xf numFmtId="0" fontId="46" fillId="10" borderId="1" applyAlignment="1" pivotButton="0" quotePrefix="0" xfId="0">
      <alignment horizontal="left" vertical="center"/>
    </xf>
    <xf numFmtId="0" fontId="47" fillId="10" borderId="1" applyAlignment="1" pivotButton="0" quotePrefix="0" xfId="0">
      <alignment horizontal="left" vertical="center"/>
    </xf>
    <xf numFmtId="0" fontId="48" fillId="10" borderId="1" applyAlignment="1" pivotButton="0" quotePrefix="0" xfId="0">
      <alignment horizontal="left" vertical="center"/>
    </xf>
    <xf numFmtId="0" fontId="47" fillId="10" borderId="1" applyAlignment="1" pivotButton="0" quotePrefix="0" xfId="0">
      <alignment horizontal="center" vertical="center"/>
    </xf>
    <xf numFmtId="165" fontId="6" fillId="10" borderId="1" applyAlignment="1" pivotButton="0" quotePrefix="0" xfId="0">
      <alignment horizontal="center" vertical="center"/>
    </xf>
    <xf numFmtId="0" fontId="13" fillId="10" borderId="1" applyAlignment="1" pivotButton="0" quotePrefix="0" xfId="0">
      <alignment horizontal="left" vertical="center" wrapText="1"/>
    </xf>
    <xf numFmtId="0" fontId="24" fillId="3" borderId="6" applyAlignment="1" pivotButton="0" quotePrefix="0" xfId="0">
      <alignment horizontal="left" vertical="center"/>
    </xf>
    <xf numFmtId="0" fontId="7" fillId="13" borderId="1" applyAlignment="1" pivotButton="0" quotePrefix="0" xfId="0">
      <alignment horizontal="left" vertical="center" wrapText="1"/>
    </xf>
    <xf numFmtId="0" fontId="7" fillId="19" borderId="1" applyAlignment="1" pivotButton="0" quotePrefix="0" xfId="0">
      <alignment horizontal="left" vertical="center" wrapText="1"/>
    </xf>
    <xf numFmtId="0" fontId="24" fillId="15" borderId="6" applyAlignment="1" pivotButton="0" quotePrefix="0" xfId="0">
      <alignment horizontal="left" vertical="center"/>
    </xf>
    <xf numFmtId="0" fontId="5" fillId="11" borderId="1" applyAlignment="1" pivotButton="0" quotePrefix="0" xfId="0">
      <alignment horizontal="left" vertical="center"/>
    </xf>
    <xf numFmtId="0" fontId="5" fillId="13" borderId="1" applyAlignment="1" pivotButton="0" quotePrefix="0" xfId="0">
      <alignment horizontal="left" vertical="center"/>
    </xf>
    <xf numFmtId="0" fontId="5" fillId="17" borderId="1" applyAlignment="1" pivotButton="0" quotePrefix="0" xfId="0">
      <alignment horizontal="left" vertical="center"/>
    </xf>
    <xf numFmtId="0" fontId="24" fillId="5" borderId="6" applyAlignment="1" pivotButton="0" quotePrefix="0" xfId="0">
      <alignment horizontal="left" vertical="center"/>
    </xf>
    <xf numFmtId="0" fontId="24" fillId="6" borderId="6" applyAlignment="1" pivotButton="0" quotePrefix="0" xfId="0">
      <alignment horizontal="left" vertical="center"/>
    </xf>
    <xf numFmtId="0" fontId="3" fillId="2" borderId="6" applyAlignment="1" pivotButton="0" quotePrefix="0" xfId="0">
      <alignment horizontal="left" vertical="center"/>
    </xf>
    <xf numFmtId="0" fontId="0" fillId="0" borderId="8" pivotButton="0" quotePrefix="0" xfId="0"/>
    <xf numFmtId="0" fontId="1" fillId="2" borderId="0" applyAlignment="1" pivotButton="0" quotePrefix="0" xfId="0">
      <alignment horizontal="center" vertical="center"/>
    </xf>
    <xf numFmtId="0" fontId="0" fillId="2" borderId="4" pivotButton="0" quotePrefix="0" xfId="0"/>
    <xf numFmtId="0" fontId="0" fillId="2" borderId="5" pivotButton="0" quotePrefix="0" xfId="0"/>
    <xf numFmtId="0" fontId="3" fillId="2" borderId="6" applyAlignment="1" pivotButton="0" quotePrefix="0" xfId="0">
      <alignment horizontal="center" vertical="center"/>
    </xf>
    <xf numFmtId="0" fontId="0" fillId="2" borderId="8" pivotButton="0" quotePrefix="0" xfId="0"/>
    <xf numFmtId="0" fontId="0" fillId="2" borderId="0" pivotButton="0" quotePrefix="0" xfId="0"/>
    <xf numFmtId="0" fontId="4" fillId="18" borderId="1" applyAlignment="1" pivotButton="0" quotePrefix="0" xfId="0">
      <alignment horizontal="center" vertical="center"/>
    </xf>
    <xf numFmtId="0" fontId="9" fillId="8" borderId="1" applyAlignment="1" pivotButton="0" quotePrefix="0" xfId="0">
      <alignment horizontal="center" vertical="center"/>
    </xf>
    <xf numFmtId="0" fontId="49" fillId="10" borderId="1" applyAlignment="1" pivotButton="0" quotePrefix="0" xfId="0">
      <alignment horizontal="left" vertical="center" wrapText="1"/>
    </xf>
    <xf numFmtId="0" fontId="5" fillId="20" borderId="1" applyAlignment="1" pivotButton="0" quotePrefix="0" xfId="0">
      <alignment horizontal="left" vertical="center"/>
    </xf>
  </cellXfs>
  <cellStyles count="1">
    <cellStyle name="Normal" xfId="0" builtinId="0" hidden="0"/>
  </cellStyles>
  <dxfs count="2">
    <dxf>
      <font>
        <name val="Arial"/>
        <b val="1"/>
        <color rgb="00C00000"/>
        <sz val="10"/>
      </font>
      <fill>
        <patternFill patternType="solid">
          <fgColor rgb="00FFC7CE"/>
        </patternFill>
      </fill>
    </dxf>
    <dxf>
      <font>
        <name val="Arial"/>
        <b val="1"/>
        <color rgb="001F4E79"/>
        <sz val="10"/>
      </font>
      <fill>
        <patternFill patternType="solid">
          <fgColor rgb="00BDD7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R31"/>
  <sheetViews>
    <sheetView showGridLines="0" showRowColHeaders="0" zoomScale="90" workbookViewId="0">
      <selection activeCell="A1" sqref="A1"/>
    </sheetView>
  </sheetViews>
  <sheetFormatPr baseColWidth="8" defaultRowHeight="15"/>
  <cols>
    <col width="18" customWidth="1" min="1" max="1"/>
    <col width="14" customWidth="1" min="2" max="2"/>
    <col width="14" customWidth="1" min="3" max="3"/>
    <col width="14" customWidth="1" min="4" max="4"/>
    <col width="14" customWidth="1" min="5" max="5"/>
    <col width="14" customWidth="1" min="6" max="6"/>
    <col width="14" customWidth="1" min="7" max="7"/>
    <col width="18" customWidth="1" min="8" max="8"/>
    <col width="14"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ht="40" customHeight="1">
      <c r="A1" s="1" t="inlineStr">
        <is>
          <t>◆ WASTE POWERTECH — TABLOU DE BORD OPERAȚIONAL</t>
        </is>
      </c>
    </row>
    <row r="2" ht="22" customHeight="1">
      <c r="A2" s="2" t="inlineStr">
        <is>
          <t>Data raportului: 11 May 2026   |   FLUX: LASER → ROLAT → SUDAT → ASAMBLAT → VOPSIT</t>
        </is>
      </c>
      <c r="J2" s="3" t="inlineStr">
        <is>
          <t>Ședință operațională zilnică  |  durata: 15–20 min  |  ora: 08:00</t>
        </is>
      </c>
    </row>
    <row r="3" ht="12" customHeight="1"/>
    <row r="4" ht="14" customHeight="1">
      <c r="A4" s="4" t="inlineStr">
        <is>
          <t>TOTAL SUBANSAMBLURI</t>
        </is>
      </c>
      <c r="B4" s="5" t="n"/>
      <c r="C4" s="6" t="n"/>
      <c r="E4" s="7" t="inlineStr">
        <is>
          <t>FINALIZATE</t>
        </is>
      </c>
      <c r="F4" s="5" t="n"/>
      <c r="G4" s="6" t="n"/>
      <c r="I4" s="8" t="inlineStr">
        <is>
          <t>ÎN LUCRU</t>
        </is>
      </c>
      <c r="J4" s="5" t="n"/>
      <c r="K4" s="6" t="n"/>
      <c r="M4" s="9" t="inlineStr">
        <is>
          <t>BLOCATE 🔴</t>
        </is>
      </c>
      <c r="N4" s="5" t="n"/>
      <c r="O4" s="6" t="n"/>
    </row>
    <row r="5" ht="36" customHeight="1">
      <c r="A5" s="10">
        <f>COUNTA(SUBANSAMBLURI!A4:A1000)</f>
        <v/>
      </c>
      <c r="B5" s="5" t="n"/>
      <c r="C5" s="6" t="n"/>
      <c r="E5" s="11">
        <f>COUNTIF(SUBANSAMBLURI!E4:E1000,"*FINALIZAT*")</f>
        <v/>
      </c>
      <c r="F5" s="5" t="n"/>
      <c r="G5" s="6" t="n"/>
      <c r="I5" s="12">
        <f>COUNTIF(SUBANSAMBLURI!E4:E1000,"*IN LUCRU*")</f>
        <v/>
      </c>
      <c r="J5" s="5" t="n"/>
      <c r="K5" s="6" t="n"/>
      <c r="M5" s="13">
        <f>COUNTIF(SUBANSAMBLURI!G4:G1000,"DA")</f>
        <v/>
      </c>
      <c r="N5" s="5" t="n"/>
      <c r="O5" s="6" t="n"/>
    </row>
    <row r="6" ht="14" customHeight="1">
      <c r="A6" s="14" t="n"/>
      <c r="B6" s="5" t="n"/>
      <c r="C6" s="6" t="n"/>
      <c r="E6" s="15" t="n"/>
      <c r="F6" s="5" t="n"/>
      <c r="G6" s="6" t="n"/>
      <c r="I6" s="16" t="n"/>
      <c r="J6" s="5" t="n"/>
      <c r="K6" s="6" t="n"/>
      <c r="M6" s="17" t="n"/>
      <c r="N6" s="5" t="n"/>
      <c r="O6" s="6" t="n"/>
    </row>
    <row r="8" ht="8" customHeight="1"/>
    <row r="9" ht="14" customHeight="1">
      <c r="A9" s="18" t="inlineStr">
        <is>
          <t>% GLOBAL FINALIZAT</t>
        </is>
      </c>
      <c r="B9" s="5" t="n"/>
      <c r="C9" s="6" t="n"/>
      <c r="E9" s="4" t="inlineStr">
        <is>
          <t>PROIECTE ACTIVE</t>
        </is>
      </c>
      <c r="F9" s="5" t="n"/>
      <c r="G9" s="6" t="n"/>
      <c r="I9" s="19" t="inlineStr">
        <is>
          <t>SUBANSAMBLURI BLOCATE</t>
        </is>
      </c>
      <c r="J9" s="5" t="n"/>
      <c r="K9" s="6" t="n"/>
      <c r="M9" s="9" t="inlineStr">
        <is>
          <t>ÎNTÂRZIATE</t>
        </is>
      </c>
      <c r="N9" s="5" t="n"/>
      <c r="O9" s="6" t="n"/>
    </row>
    <row r="10" ht="36" customHeight="1">
      <c r="A10" s="20">
        <f>IFERROR(COUNTIF(SUBANSAMBLURI!E4:E1000,"*FINALIZAT*")/COUNTA(SUBANSAMBLURI!A4:A1000),0)</f>
        <v/>
      </c>
      <c r="B10" s="5" t="n"/>
      <c r="C10" s="6" t="n"/>
      <c r="E10" s="21">
        <f>3</f>
        <v/>
      </c>
      <c r="F10" s="5" t="n"/>
      <c r="G10" s="6" t="n"/>
      <c r="I10" s="22">
        <f>COUNTIF(SUBANSAMBLURI!G4:G1000,"DA")</f>
        <v/>
      </c>
      <c r="J10" s="5" t="n"/>
      <c r="K10" s="6" t="n"/>
      <c r="M10" s="23">
        <f>COUNTIF(SUBANSAMBLURI!H4:H1000,"DA")</f>
        <v/>
      </c>
      <c r="N10" s="5" t="n"/>
      <c r="O10" s="6" t="n"/>
    </row>
    <row r="11" ht="14" customHeight="1">
      <c r="A11" s="24" t="n"/>
      <c r="B11" s="5" t="n"/>
      <c r="C11" s="6" t="n"/>
      <c r="E11" s="14" t="n"/>
      <c r="F11" s="5" t="n"/>
      <c r="G11" s="6" t="n"/>
      <c r="I11" s="25" t="n"/>
      <c r="J11" s="5" t="n"/>
      <c r="K11" s="6" t="n"/>
      <c r="M11" s="17" t="n"/>
      <c r="N11" s="5" t="n"/>
      <c r="O11" s="6" t="n"/>
    </row>
    <row r="13" ht="12" customHeight="1">
      <c r="A13" s="146" t="inlineStr">
        <is>
          <t>◆ PROGRES PROIECTE     |     🔵 "ÎN COADĂ" = subansamblu amânat prin planificare (constraint resurse) — albastru în SUBANSAMBLURI</t>
        </is>
      </c>
      <c r="B13" s="5" t="n"/>
      <c r="C13" s="5" t="n"/>
      <c r="D13" s="5" t="n"/>
      <c r="E13" s="5" t="n"/>
      <c r="F13" s="5" t="n"/>
      <c r="G13" s="5" t="n"/>
      <c r="H13" s="5" t="n"/>
      <c r="I13" s="5" t="n"/>
      <c r="J13" s="5" t="n"/>
      <c r="K13" s="5" t="n"/>
      <c r="L13" s="147" t="n"/>
    </row>
    <row r="14" ht="20" customHeight="1">
      <c r="A14" s="27" t="inlineStr">
        <is>
          <t>PROIECT</t>
        </is>
      </c>
      <c r="B14" s="27" t="inlineStr">
        <is>
          <t>CLIENT</t>
        </is>
      </c>
      <c r="C14" s="27" t="inlineStr">
        <is>
          <t>RESPONSABIL</t>
        </is>
      </c>
      <c r="D14" s="27" t="inlineStr">
        <is>
          <t>PRIORITATE</t>
        </is>
      </c>
      <c r="E14" s="4" t="inlineStr">
        <is>
          <t>LASER</t>
        </is>
      </c>
      <c r="F14" s="28" t="inlineStr">
        <is>
          <t>ROLAT</t>
        </is>
      </c>
      <c r="G14" s="19" t="inlineStr">
        <is>
          <t>SUDAT</t>
        </is>
      </c>
      <c r="H14" s="29" t="inlineStr">
        <is>
          <t>ASAMBLAT</t>
        </is>
      </c>
      <c r="I14" s="30" t="inlineStr">
        <is>
          <t>VOPSIT</t>
        </is>
      </c>
      <c r="J14" s="27" t="inlineStr">
        <is>
          <t>PROGRES GLOBAL</t>
        </is>
      </c>
      <c r="K14" s="27" t="inlineStr">
        <is>
          <t>STATUS</t>
        </is>
      </c>
      <c r="L14" s="9" t="inlineStr">
        <is>
          <t>BLOCAJE</t>
        </is>
      </c>
    </row>
    <row r="15" ht="22" customHeight="1">
      <c r="A15" s="31" t="inlineStr">
        <is>
          <t>WP1000-08</t>
        </is>
      </c>
      <c r="B15" s="32" t="inlineStr">
        <is>
          <t>Client Alpha</t>
        </is>
      </c>
      <c r="C15" s="32" t="inlineStr">
        <is>
          <t>Ion Popescu</t>
        </is>
      </c>
      <c r="D15" s="33" t="inlineStr">
        <is>
          <t>🟢 NORMAL</t>
        </is>
      </c>
      <c r="E15" s="34" t="inlineStr">
        <is>
          <t>19/19
(100%)</t>
        </is>
      </c>
      <c r="F15" s="34" t="inlineStr">
        <is>
          <t>7/7
(100%)</t>
        </is>
      </c>
      <c r="G15" s="34" t="inlineStr">
        <is>
          <t>19/19
(100%)</t>
        </is>
      </c>
      <c r="H15" s="34" t="inlineStr">
        <is>
          <t>19/19
(100%)</t>
        </is>
      </c>
      <c r="I15" s="34" t="inlineStr">
        <is>
          <t>18/18
(100%)</t>
        </is>
      </c>
      <c r="J15" s="35" t="n">
        <v>1</v>
      </c>
      <c r="K15" s="36" t="inlineStr">
        <is>
          <t>✅ FINALIZAT</t>
        </is>
      </c>
      <c r="L15" s="37" t="inlineStr">
        <is>
          <t>-</t>
        </is>
      </c>
    </row>
    <row r="16" ht="22" customHeight="1">
      <c r="A16" s="31" t="inlineStr">
        <is>
          <t>WP1000-09</t>
        </is>
      </c>
      <c r="B16" s="32" t="inlineStr">
        <is>
          <t>Client Beta</t>
        </is>
      </c>
      <c r="C16" s="32" t="inlineStr">
        <is>
          <t>Maria Ionescu</t>
        </is>
      </c>
      <c r="D16" s="33" t="inlineStr">
        <is>
          <t>🟡 RIDICAT</t>
        </is>
      </c>
      <c r="E16" s="34" t="inlineStr">
        <is>
          <t>19/19
(100%)</t>
        </is>
      </c>
      <c r="F16" s="34" t="inlineStr">
        <is>
          <t>7/7
(100%)</t>
        </is>
      </c>
      <c r="G16" s="34" t="inlineStr">
        <is>
          <t>19/19
(100%)</t>
        </is>
      </c>
      <c r="H16" s="38" t="inlineStr">
        <is>
          <t>18/19
(95%)</t>
        </is>
      </c>
      <c r="I16" s="38" t="inlineStr">
        <is>
          <t>17/18
(94%)</t>
        </is>
      </c>
      <c r="J16" s="35" t="n">
        <v>0.975609756097561</v>
      </c>
      <c r="K16" s="39" t="inlineStr">
        <is>
          <t>🟡 IN LIVRARE</t>
        </is>
      </c>
      <c r="L16" s="37" t="inlineStr">
        <is>
          <t>-</t>
        </is>
      </c>
    </row>
    <row r="17" ht="22" customHeight="1">
      <c r="A17" s="31" t="inlineStr">
        <is>
          <t>WP1000-10</t>
        </is>
      </c>
      <c r="B17" s="32" t="inlineStr">
        <is>
          <t>Client Gamma</t>
        </is>
      </c>
      <c r="C17" s="32" t="inlineStr">
        <is>
          <t>Andrei Marin</t>
        </is>
      </c>
      <c r="D17" s="33" t="inlineStr">
        <is>
          <t>🔴 CRITIC</t>
        </is>
      </c>
      <c r="E17" s="34" t="inlineStr">
        <is>
          <t>19/19
(100%)</t>
        </is>
      </c>
      <c r="F17" s="34" t="inlineStr">
        <is>
          <t>7/7
(100%)</t>
        </is>
      </c>
      <c r="G17" s="38" t="inlineStr">
        <is>
          <t>18/19
(95%)</t>
        </is>
      </c>
      <c r="H17" s="38" t="inlineStr">
        <is>
          <t>15/19
(79%)</t>
        </is>
      </c>
      <c r="I17" s="40" t="inlineStr">
        <is>
          <t>8/18
(44%)</t>
        </is>
      </c>
      <c r="J17" s="35" t="n">
        <v>0.8170731707317073</v>
      </c>
      <c r="K17" s="41" t="inlineStr">
        <is>
          <t>⛔ BLOCAJE ACTIVE</t>
        </is>
      </c>
      <c r="L17" s="42" t="n">
        <v>3</v>
      </c>
    </row>
    <row r="19" ht="12" customHeight="1">
      <c r="A19" s="43" t="inlineStr">
        <is>
          <t>◆ HEATMAP BLOCAJE PE DEPARTAMENT × PROIECT</t>
        </is>
      </c>
      <c r="B19" s="5" t="n"/>
      <c r="C19" s="5" t="n"/>
      <c r="D19" s="5" t="n"/>
      <c r="E19" s="5" t="n"/>
      <c r="F19" s="5" t="n"/>
      <c r="G19" s="5" t="n"/>
      <c r="H19" s="5" t="n"/>
      <c r="I19" s="5" t="n"/>
      <c r="J19" s="5" t="n"/>
      <c r="K19" s="5" t="n"/>
      <c r="L19" s="147" t="n"/>
    </row>
    <row r="20" ht="20" customHeight="1">
      <c r="A20" s="44" t="inlineStr">
        <is>
          <t>DEPARTAMENT</t>
        </is>
      </c>
      <c r="B20" s="44" t="inlineStr">
        <is>
          <t>WP1000-08</t>
        </is>
      </c>
      <c r="C20" s="44" t="inlineStr">
        <is>
          <t>WP1000-09</t>
        </is>
      </c>
      <c r="D20" s="44" t="inlineStr">
        <is>
          <t>WP1000-10</t>
        </is>
      </c>
      <c r="E20" s="45" t="inlineStr">
        <is>
          <t>TOTAL BLOCAJE</t>
        </is>
      </c>
      <c r="F20" s="46" t="inlineStr">
        <is>
          <t>SUBANSAMBLURI ACTIVE</t>
        </is>
      </c>
    </row>
    <row r="21" ht="20" customHeight="1">
      <c r="A21" s="47" t="inlineStr">
        <is>
          <t>LASER</t>
        </is>
      </c>
      <c r="B21" s="48" t="inlineStr">
        <is>
          <t>✅ 19/19</t>
        </is>
      </c>
      <c r="C21" s="48" t="inlineStr">
        <is>
          <t>✅ 19/19</t>
        </is>
      </c>
      <c r="D21" s="48" t="inlineStr">
        <is>
          <t>✅ 19/19</t>
        </is>
      </c>
      <c r="E21" s="37" t="inlineStr">
        <is>
          <t>–</t>
        </is>
      </c>
      <c r="F21" s="49" t="inlineStr">
        <is>
          <t>–</t>
        </is>
      </c>
    </row>
    <row r="22" ht="20" customHeight="1">
      <c r="A22" s="50" t="inlineStr">
        <is>
          <t>ROLAT</t>
        </is>
      </c>
      <c r="B22" s="48" t="inlineStr">
        <is>
          <t>✅ 7/7</t>
        </is>
      </c>
      <c r="C22" s="48" t="inlineStr">
        <is>
          <t>✅ 7/7</t>
        </is>
      </c>
      <c r="D22" s="48" t="inlineStr">
        <is>
          <t>✅ 7/7</t>
        </is>
      </c>
      <c r="E22" s="37" t="inlineStr">
        <is>
          <t>–</t>
        </is>
      </c>
      <c r="F22" s="49" t="inlineStr">
        <is>
          <t>–</t>
        </is>
      </c>
    </row>
    <row r="23" ht="20" customHeight="1">
      <c r="A23" s="46" t="inlineStr">
        <is>
          <t>SUDAT</t>
        </is>
      </c>
      <c r="B23" s="48" t="inlineStr">
        <is>
          <t>✅ 19/19</t>
        </is>
      </c>
      <c r="C23" s="48" t="inlineStr">
        <is>
          <t>✅ 19/19</t>
        </is>
      </c>
      <c r="D23" s="51" t="inlineStr">
        <is>
          <t>⛔ 1</t>
        </is>
      </c>
      <c r="E23" s="42" t="n">
        <v>1</v>
      </c>
      <c r="F23" s="49" t="inlineStr">
        <is>
          <t>–</t>
        </is>
      </c>
    </row>
    <row r="24" ht="20" customHeight="1">
      <c r="A24" s="52" t="inlineStr">
        <is>
          <t>ASAMBLAT</t>
        </is>
      </c>
      <c r="B24" s="48" t="inlineStr">
        <is>
          <t>✅ 19/19</t>
        </is>
      </c>
      <c r="C24" s="53" t="inlineStr">
        <is>
          <t>🔄 1</t>
        </is>
      </c>
      <c r="D24" s="51" t="inlineStr">
        <is>
          <t>⛔ 2</t>
        </is>
      </c>
      <c r="E24" s="42" t="n">
        <v>2</v>
      </c>
      <c r="F24" s="53" t="n">
        <v>2</v>
      </c>
    </row>
    <row r="25" ht="20" customHeight="1">
      <c r="A25" s="54" t="inlineStr">
        <is>
          <t>VOPSIT</t>
        </is>
      </c>
      <c r="B25" s="48" t="inlineStr">
        <is>
          <t>✅ 18/18</t>
        </is>
      </c>
      <c r="C25" s="48" t="inlineStr">
        <is>
          <t>✅ 17/18</t>
        </is>
      </c>
      <c r="D25" s="53" t="inlineStr">
        <is>
          <t>🔄 7</t>
        </is>
      </c>
      <c r="E25" s="37" t="inlineStr">
        <is>
          <t>–</t>
        </is>
      </c>
      <c r="F25" s="53" t="n">
        <v>7</v>
      </c>
    </row>
    <row r="27" ht="12" customHeight="1">
      <c r="A27" s="43" t="inlineStr">
        <is>
          <t>◆ BLOCAJE ACTIVE  —  necesită acțiune imediată</t>
        </is>
      </c>
      <c r="B27" s="5" t="n"/>
      <c r="C27" s="5" t="n"/>
      <c r="D27" s="5" t="n"/>
      <c r="E27" s="5" t="n"/>
      <c r="F27" s="5" t="n"/>
      <c r="G27" s="5" t="n"/>
      <c r="H27" s="5" t="n"/>
      <c r="I27" s="5" t="n"/>
      <c r="J27" s="5" t="n"/>
      <c r="K27" s="5" t="n"/>
      <c r="L27" s="147" t="n"/>
    </row>
    <row r="28" ht="18" customHeight="1">
      <c r="A28" s="55" t="inlineStr">
        <is>
          <t>ID</t>
        </is>
      </c>
      <c r="B28" s="55" t="inlineStr">
        <is>
          <t>DATA</t>
        </is>
      </c>
      <c r="C28" s="55" t="inlineStr">
        <is>
          <t>PROIECT</t>
        </is>
      </c>
      <c r="D28" s="55" t="inlineStr">
        <is>
          <t>SUBANSAMBLU</t>
        </is>
      </c>
      <c r="E28" s="55" t="inlineStr">
        <is>
          <t>DEPARTAMENT</t>
        </is>
      </c>
      <c r="F28" s="55" t="inlineStr">
        <is>
          <t>DESCRIERE</t>
        </is>
      </c>
      <c r="G28" s="55" t="inlineStr">
        <is>
          <t>OWNER</t>
        </is>
      </c>
      <c r="H28" s="55" t="inlineStr">
        <is>
          <t>IMPACT</t>
        </is>
      </c>
    </row>
    <row r="29" ht="18" customHeight="1">
      <c r="A29" s="56" t="inlineStr">
        <is>
          <t>BLK-001</t>
        </is>
      </c>
      <c r="B29" s="57" t="n">
        <v>45775</v>
      </c>
      <c r="C29" s="56" t="inlineStr">
        <is>
          <t>WP1000-10</t>
        </is>
      </c>
      <c r="D29" s="58" t="inlineStr">
        <is>
          <t>Ventori scrubber</t>
        </is>
      </c>
      <c r="E29" s="56" t="inlineStr">
        <is>
          <t>SUDAT</t>
        </is>
      </c>
      <c r="F29" s="59" t="inlineStr">
        <is>
          <t>Discutie tehnica: configuratie neconfirmata cu proiectantul</t>
        </is>
      </c>
      <c r="G29" s="56" t="inlineStr">
        <is>
          <t>Andrei Marin</t>
        </is>
      </c>
      <c r="H29" s="60" t="inlineStr">
        <is>
          <t>INALT</t>
        </is>
      </c>
    </row>
    <row r="30" ht="18" customHeight="1">
      <c r="A30" s="56" t="inlineStr">
        <is>
          <t>BLK-002</t>
        </is>
      </c>
      <c r="B30" s="57" t="n">
        <v>45777</v>
      </c>
      <c r="C30" s="56" t="inlineStr">
        <is>
          <t>WP1000-10</t>
        </is>
      </c>
      <c r="D30" s="58" t="inlineStr">
        <is>
          <t>Rezervor metalic (racitor)</t>
        </is>
      </c>
      <c r="E30" s="56" t="inlineStr">
        <is>
          <t>ASAMBLAT</t>
        </is>
      </c>
      <c r="F30" s="59" t="inlineStr">
        <is>
          <t>Lipsa componente de aprovizionat – fitinguri speciale</t>
        </is>
      </c>
      <c r="G30" s="56" t="inlineStr">
        <is>
          <t>Ion Popescu</t>
        </is>
      </c>
      <c r="H30" s="41" t="inlineStr">
        <is>
          <t>CRITIC</t>
        </is>
      </c>
    </row>
    <row r="31" ht="18" customHeight="1">
      <c r="A31" s="56" t="inlineStr">
        <is>
          <t>BLK-003</t>
        </is>
      </c>
      <c r="B31" s="57" t="n">
        <v>45779</v>
      </c>
      <c r="C31" s="56" t="inlineStr">
        <is>
          <t>WP1000-10</t>
        </is>
      </c>
      <c r="D31" s="58" t="inlineStr">
        <is>
          <t>Sistem de tevi</t>
        </is>
      </c>
      <c r="E31" s="56" t="inlineStr">
        <is>
          <t>ASAMBLAT</t>
        </is>
      </c>
      <c r="F31" s="59" t="inlineStr">
        <is>
          <t>Lipsa teava pompa de vid – comanda in curs</t>
        </is>
      </c>
      <c r="G31" s="56" t="inlineStr">
        <is>
          <t>Maria Ionescu</t>
        </is>
      </c>
      <c r="H31" s="39" t="inlineStr">
        <is>
          <t>MEDIU</t>
        </is>
      </c>
    </row>
  </sheetData>
  <mergeCells count="30">
    <mergeCell ref="M11:O11"/>
    <mergeCell ref="E10:G10"/>
    <mergeCell ref="M10:O10"/>
    <mergeCell ref="E9:G9"/>
    <mergeCell ref="A27:L27"/>
    <mergeCell ref="M6:O6"/>
    <mergeCell ref="E6:G6"/>
    <mergeCell ref="A2:I2"/>
    <mergeCell ref="E11:G11"/>
    <mergeCell ref="A5:C5"/>
    <mergeCell ref="I5:K5"/>
    <mergeCell ref="I4:K4"/>
    <mergeCell ref="A4:C4"/>
    <mergeCell ref="A10:C10"/>
    <mergeCell ref="I10:K10"/>
    <mergeCell ref="J2:R2"/>
    <mergeCell ref="A19:L19"/>
    <mergeCell ref="M4:O4"/>
    <mergeCell ref="I9:K9"/>
    <mergeCell ref="A13:L13"/>
    <mergeCell ref="A9:C9"/>
    <mergeCell ref="I6:K6"/>
    <mergeCell ref="I11:K11"/>
    <mergeCell ref="A11:C11"/>
    <mergeCell ref="E5:G5"/>
    <mergeCell ref="M9:O9"/>
    <mergeCell ref="A6:C6"/>
    <mergeCell ref="M5:O5"/>
    <mergeCell ref="E4:G4"/>
    <mergeCell ref="A1:R1"/>
  </mergeCells>
  <conditionalFormatting sqref="J15:J17">
    <cfRule type="dataBar" priority="1">
      <dataBar>
        <cfvo type="num" val="0"/>
        <cfvo type="num" val="1"/>
        <color rgb="002E75B6"/>
      </dataBar>
    </cfRule>
  </conditionalFormatting>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AC60"/>
  <sheetViews>
    <sheetView showGridLines="0" zoomScale="85" workbookViewId="0">
      <pane xSplit="4" ySplit="3" topLeftCell="E4"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5" customWidth="1" min="2" max="2"/>
    <col width="26" customWidth="1" min="3" max="3"/>
    <col width="10" customWidth="1" min="4" max="4"/>
    <col width="16" customWidth="1" min="5" max="5"/>
    <col width="9" customWidth="1" min="6" max="6"/>
    <col width="10" customWidth="1" min="7" max="7"/>
    <col width="11" customWidth="1" min="8" max="8"/>
    <col width="14" customWidth="1" min="9" max="9"/>
    <col width="16" customWidth="1" min="10" max="10"/>
    <col width="12" customWidth="1" min="11" max="11"/>
    <col width="22" customWidth="1" min="12" max="12"/>
    <col width="14" customWidth="1" min="13" max="13"/>
    <col width="16" customWidth="1" min="14" max="14"/>
    <col width="12" customWidth="1" min="15" max="15"/>
    <col width="22" customWidth="1" min="16" max="16"/>
    <col width="14" customWidth="1" min="17" max="17"/>
    <col width="16" customWidth="1" min="18" max="18"/>
    <col width="12" customWidth="1" min="19" max="19"/>
    <col width="22" customWidth="1" min="20" max="20"/>
    <col width="14" customWidth="1" min="21" max="21"/>
    <col width="16" customWidth="1" min="22" max="22"/>
    <col width="12" customWidth="1" min="23" max="23"/>
    <col width="22" customWidth="1" min="24" max="24"/>
    <col width="14" customWidth="1" min="25" max="25"/>
    <col width="16" customWidth="1" min="26" max="26"/>
    <col width="12" customWidth="1" min="27" max="27"/>
    <col width="22" customWidth="1" min="28" max="28"/>
    <col width="26" customWidth="1" min="29" max="29"/>
  </cols>
  <sheetData>
    <row r="1" ht="30" customHeight="1">
      <c r="A1" s="148" t="inlineStr">
        <is>
          <t>WASTE POWERTECH — TRACKING SUBANSAMBLURI   |   FLUX: LASER → ROLAT → SUDAT → ASAMBLAT → VOPSIT</t>
        </is>
      </c>
    </row>
    <row r="2" ht="22" customHeight="1">
      <c r="A2" s="44" t="inlineStr">
        <is>
          <t>IDENTIFICARE</t>
        </is>
      </c>
      <c r="B2" s="149" t="n"/>
      <c r="C2" s="149" t="n"/>
      <c r="D2" s="150" t="n"/>
      <c r="E2" s="44" t="inlineStr">
        <is>
          <t>STATUS GLOBAL</t>
        </is>
      </c>
      <c r="F2" s="149" t="n"/>
      <c r="G2" s="149" t="n"/>
      <c r="H2" s="150" t="n"/>
      <c r="I2" s="151" t="inlineStr">
        <is>
          <t>◆ LASER</t>
        </is>
      </c>
      <c r="J2" s="149" t="n"/>
      <c r="K2" s="149" t="n"/>
      <c r="L2" s="152" t="n"/>
      <c r="M2" s="151" t="inlineStr">
        <is>
          <t>◆ ROLAT</t>
        </is>
      </c>
      <c r="N2" s="149" t="n"/>
      <c r="O2" s="149" t="n"/>
      <c r="P2" s="152" t="n"/>
      <c r="Q2" s="151" t="inlineStr">
        <is>
          <t>◆ SUDAT</t>
        </is>
      </c>
      <c r="R2" s="149" t="n"/>
      <c r="S2" s="149" t="n"/>
      <c r="T2" s="152" t="n"/>
      <c r="U2" s="151" t="inlineStr">
        <is>
          <t>◆ ASAMBLAT</t>
        </is>
      </c>
      <c r="V2" s="149" t="n"/>
      <c r="W2" s="149" t="n"/>
      <c r="X2" s="152" t="n"/>
      <c r="Y2" s="151" t="inlineStr">
        <is>
          <t>◆ VOPSIT</t>
        </is>
      </c>
      <c r="Z2" s="149" t="n"/>
      <c r="AA2" s="149" t="n"/>
      <c r="AB2" s="152" t="n"/>
      <c r="AC2" s="153" t="n"/>
    </row>
    <row r="3" ht="18" customHeight="1">
      <c r="A3" s="27" t="inlineStr">
        <is>
          <t>PROIECT</t>
        </is>
      </c>
      <c r="B3" s="27" t="inlineStr">
        <is>
          <t>NR</t>
        </is>
      </c>
      <c r="C3" s="27" t="inlineStr">
        <is>
          <t>SUBANSAMBLU</t>
        </is>
      </c>
      <c r="D3" s="27" t="inlineStr">
        <is>
          <t>PRIO</t>
        </is>
      </c>
      <c r="E3" s="27" t="inlineStr">
        <is>
          <t>STATUS GLOBAL</t>
        </is>
      </c>
      <c r="F3" s="27" t="inlineStr">
        <is>
          <t>PROGRES</t>
        </is>
      </c>
      <c r="G3" s="27" t="inlineStr">
        <is>
          <t>BLOCAT?</t>
        </is>
      </c>
      <c r="H3" s="27" t="inlineStr">
        <is>
          <t>INTARZIAT?</t>
        </is>
      </c>
      <c r="I3" s="4" t="inlineStr">
        <is>
          <t>STATUS</t>
        </is>
      </c>
      <c r="J3" s="4" t="inlineStr">
        <is>
          <t>RESPONSABIL</t>
        </is>
      </c>
      <c r="K3" s="4" t="inlineStr">
        <is>
          <t>DATA PLAN</t>
        </is>
      </c>
      <c r="L3" s="4" t="inlineStr">
        <is>
          <t>COMENTARII</t>
        </is>
      </c>
      <c r="M3" s="28" t="inlineStr">
        <is>
          <t>STATUS</t>
        </is>
      </c>
      <c r="N3" s="28" t="inlineStr">
        <is>
          <t>RESPONSABIL</t>
        </is>
      </c>
      <c r="O3" s="28" t="inlineStr">
        <is>
          <t>DATA PLAN</t>
        </is>
      </c>
      <c r="P3" s="28" t="inlineStr">
        <is>
          <t>COMENTARII</t>
        </is>
      </c>
      <c r="Q3" s="19" t="inlineStr">
        <is>
          <t>STATUS</t>
        </is>
      </c>
      <c r="R3" s="19" t="inlineStr">
        <is>
          <t>RESPONSABIL</t>
        </is>
      </c>
      <c r="S3" s="19" t="inlineStr">
        <is>
          <t>DATA PLAN</t>
        </is>
      </c>
      <c r="T3" s="19" t="inlineStr">
        <is>
          <t>COMENTARII</t>
        </is>
      </c>
      <c r="U3" s="29" t="inlineStr">
        <is>
          <t>STATUS</t>
        </is>
      </c>
      <c r="V3" s="29" t="inlineStr">
        <is>
          <t>RESPONSABIL</t>
        </is>
      </c>
      <c r="W3" s="29" t="inlineStr">
        <is>
          <t>DATA PLAN</t>
        </is>
      </c>
      <c r="X3" s="29" t="inlineStr">
        <is>
          <t>COMENTARII</t>
        </is>
      </c>
      <c r="Y3" s="8" t="inlineStr">
        <is>
          <t>STATUS</t>
        </is>
      </c>
      <c r="Z3" s="8" t="inlineStr">
        <is>
          <t>RESPONSABIL</t>
        </is>
      </c>
      <c r="AA3" s="8" t="inlineStr">
        <is>
          <t>DATA PLAN</t>
        </is>
      </c>
      <c r="AB3" s="8" t="inlineStr">
        <is>
          <t>COMENTARII</t>
        </is>
      </c>
      <c r="AC3" s="154" t="inlineStr">
        <is>
          <t>CONDIȚIONAT DE</t>
        </is>
      </c>
    </row>
    <row r="4" ht="18" customHeight="1">
      <c r="A4" s="67" t="inlineStr">
        <is>
          <t>WP1000-08</t>
        </is>
      </c>
      <c r="B4" s="68" t="n">
        <v>1</v>
      </c>
      <c r="C4" s="69" t="inlineStr">
        <is>
          <t>Structura metalica</t>
        </is>
      </c>
      <c r="D4" s="70" t="inlineStr">
        <is>
          <t>🟢</t>
        </is>
      </c>
      <c r="E4" s="155">
        <f>IF(G4="DA","⛔ BLOCAT",IF(H4="DA","⚠ INTARZIAT",IF(COUNTIF(I4,"În coadă")+COUNTIF(M4,"În coadă")+COUNTIF(Q4,"În coadă")+COUNTIF(U4,"În coadă")+COUNTIF(Y4,"În coadă")&gt;0,"🔵 ÎN COADĂ",IF(F4=1,"✅ FINALIZAT",IF(F4&gt;0,"🔄 IN LUCRU","○ NEINCEPUT")))))</f>
        <v/>
      </c>
      <c r="F4" s="72">
        <f>IFERROR((COUNTIF(I4,"Finalizat")+COUNTIF(M4,"Finalizat")+COUNTIF(Q4,"Finalizat")+COUNTIF(U4,"Finalizat")+COUNTIF(Y4,"Finalizat"))/(5-COUNTIF(I4,"N/A")-COUNTIF(M4,"N/A")-COUNTIF(Q4,"N/A")-COUNTIF(U4,"N/A")-COUNTIF(Y4,"N/A")),0)</f>
        <v/>
      </c>
      <c r="G4" s="73">
        <f>IF(COUNTIF(I4,"Blocat")+COUNTIF(M4,"Blocat")+COUNTIF(Q4,"Blocat")+COUNTIF(U4,"Blocat")+COUNTIF(Y4,"Blocat")&gt;0,"DA","")</f>
        <v/>
      </c>
      <c r="H4" s="74">
        <f>IF(COUNTIF(I4,"Întârziat")+COUNTIF(M4,"Întârziat")+COUNTIF(Q4,"Întârziat")+COUNTIF(U4,"Întârziat")+COUNTIF(Y4,"Întârziat")&gt;0,"DA","")</f>
        <v/>
      </c>
      <c r="I4" s="75" t="inlineStr">
        <is>
          <t>Finalizat</t>
        </is>
      </c>
      <c r="J4" s="76" t="inlineStr"/>
      <c r="K4" s="76" t="inlineStr"/>
      <c r="L4" s="59" t="inlineStr"/>
      <c r="M4" s="77" t="inlineStr">
        <is>
          <t>N/A</t>
        </is>
      </c>
      <c r="N4" s="76" t="inlineStr"/>
      <c r="O4" s="76" t="inlineStr"/>
      <c r="P4" s="59" t="inlineStr"/>
      <c r="Q4" s="75" t="inlineStr">
        <is>
          <t>Finalizat</t>
        </is>
      </c>
      <c r="R4" s="76" t="inlineStr"/>
      <c r="S4" s="76" t="inlineStr"/>
      <c r="T4" s="59" t="inlineStr"/>
      <c r="U4" s="75" t="inlineStr">
        <is>
          <t>Finalizat</t>
        </is>
      </c>
      <c r="V4" s="76" t="inlineStr"/>
      <c r="W4" s="76" t="inlineStr"/>
      <c r="X4" s="59" t="inlineStr"/>
      <c r="Y4" s="75" t="inlineStr">
        <is>
          <t>Finalizat</t>
        </is>
      </c>
      <c r="Z4" s="76" t="inlineStr"/>
      <c r="AA4" s="76" t="inlineStr"/>
      <c r="AB4" s="59" t="inlineStr">
        <is>
          <t>OK</t>
        </is>
      </c>
      <c r="AC4" s="136" t="n"/>
    </row>
    <row r="5" ht="18" customHeight="1">
      <c r="A5" s="67" t="inlineStr">
        <is>
          <t>WP1000-08</t>
        </is>
      </c>
      <c r="B5" s="68" t="n">
        <v>2</v>
      </c>
      <c r="C5" s="69" t="inlineStr">
        <is>
          <t>Scara metalica</t>
        </is>
      </c>
      <c r="D5" s="70" t="inlineStr">
        <is>
          <t>🟢</t>
        </is>
      </c>
      <c r="E5" s="155">
        <f>IF(G5="DA","⛔ BLOCAT",IF(H5="DA","⚠ INTARZIAT",IF(COUNTIF(I5,"În coadă")+COUNTIF(M5,"În coadă")+COUNTIF(Q5,"În coadă")+COUNTIF(U5,"În coadă")+COUNTIF(Y5,"În coadă")&gt;0,"🔵 ÎN COADĂ",IF(F5=1,"✅ FINALIZAT",IF(F5&gt;0,"🔄 IN LUCRU","○ NEINCEPUT")))))</f>
        <v/>
      </c>
      <c r="F5" s="72">
        <f>IFERROR((COUNTIF(I5,"Finalizat")+COUNTIF(M5,"Finalizat")+COUNTIF(Q5,"Finalizat")+COUNTIF(U5,"Finalizat")+COUNTIF(Y5,"Finalizat"))/(5-COUNTIF(I5,"N/A")-COUNTIF(M5,"N/A")-COUNTIF(Q5,"N/A")-COUNTIF(U5,"N/A")-COUNTIF(Y5,"N/A")),0)</f>
        <v/>
      </c>
      <c r="G5" s="73">
        <f>IF(COUNTIF(I5,"Blocat")+COUNTIF(M5,"Blocat")+COUNTIF(Q5,"Blocat")+COUNTIF(U5,"Blocat")+COUNTIF(Y5,"Blocat")&gt;0,"DA","")</f>
        <v/>
      </c>
      <c r="H5" s="74">
        <f>IF(COUNTIF(I5,"Întârziat")+COUNTIF(M5,"Întârziat")+COUNTIF(Q5,"Întârziat")+COUNTIF(U5,"Întârziat")+COUNTIF(Y5,"Întârziat")&gt;0,"DA","")</f>
        <v/>
      </c>
      <c r="I5" s="75" t="inlineStr">
        <is>
          <t>Finalizat</t>
        </is>
      </c>
      <c r="J5" s="76" t="inlineStr"/>
      <c r="K5" s="76" t="inlineStr"/>
      <c r="L5" s="59" t="inlineStr"/>
      <c r="M5" s="77" t="inlineStr">
        <is>
          <t>N/A</t>
        </is>
      </c>
      <c r="N5" s="76" t="inlineStr"/>
      <c r="O5" s="76" t="inlineStr"/>
      <c r="P5" s="59" t="inlineStr"/>
      <c r="Q5" s="75" t="inlineStr">
        <is>
          <t>Finalizat</t>
        </is>
      </c>
      <c r="R5" s="76" t="inlineStr"/>
      <c r="S5" s="76" t="inlineStr"/>
      <c r="T5" s="59" t="inlineStr"/>
      <c r="U5" s="75" t="inlineStr">
        <is>
          <t>Finalizat</t>
        </is>
      </c>
      <c r="V5" s="76" t="inlineStr"/>
      <c r="W5" s="76" t="inlineStr"/>
      <c r="X5" s="59" t="inlineStr"/>
      <c r="Y5" s="75" t="inlineStr">
        <is>
          <t>Finalizat</t>
        </is>
      </c>
      <c r="Z5" s="76" t="inlineStr"/>
      <c r="AA5" s="76" t="inlineStr"/>
      <c r="AB5" s="59" t="inlineStr">
        <is>
          <t>OK</t>
        </is>
      </c>
      <c r="AC5" s="136" t="n"/>
    </row>
    <row r="6" ht="18" customHeight="1">
      <c r="A6" s="67" t="inlineStr">
        <is>
          <t>WP1000-08</t>
        </is>
      </c>
      <c r="B6" s="68" t="n">
        <v>3</v>
      </c>
      <c r="C6" s="69" t="inlineStr">
        <is>
          <t>Compactor iesire</t>
        </is>
      </c>
      <c r="D6" s="70" t="inlineStr">
        <is>
          <t>🟢</t>
        </is>
      </c>
      <c r="E6" s="155">
        <f>IF(G6="DA","⛔ BLOCAT",IF(H6="DA","⚠ INTARZIAT",IF(COUNTIF(I6,"În coadă")+COUNTIF(M6,"În coadă")+COUNTIF(Q6,"În coadă")+COUNTIF(U6,"În coadă")+COUNTIF(Y6,"În coadă")&gt;0,"🔵 ÎN COADĂ",IF(F6=1,"✅ FINALIZAT",IF(F6&gt;0,"🔄 IN LUCRU","○ NEINCEPUT")))))</f>
        <v/>
      </c>
      <c r="F6" s="72">
        <f>IFERROR((COUNTIF(I6,"Finalizat")+COUNTIF(M6,"Finalizat")+COUNTIF(Q6,"Finalizat")+COUNTIF(U6,"Finalizat")+COUNTIF(Y6,"Finalizat"))/(5-COUNTIF(I6,"N/A")-COUNTIF(M6,"N/A")-COUNTIF(Q6,"N/A")-COUNTIF(U6,"N/A")-COUNTIF(Y6,"N/A")),0)</f>
        <v/>
      </c>
      <c r="G6" s="73">
        <f>IF(COUNTIF(I6,"Blocat")+COUNTIF(M6,"Blocat")+COUNTIF(Q6,"Blocat")+COUNTIF(U6,"Blocat")+COUNTIF(Y6,"Blocat")&gt;0,"DA","")</f>
        <v/>
      </c>
      <c r="H6" s="74">
        <f>IF(COUNTIF(I6,"Întârziat")+COUNTIF(M6,"Întârziat")+COUNTIF(Q6,"Întârziat")+COUNTIF(U6,"Întârziat")+COUNTIF(Y6,"Întârziat")&gt;0,"DA","")</f>
        <v/>
      </c>
      <c r="I6" s="75" t="inlineStr">
        <is>
          <t>Finalizat</t>
        </is>
      </c>
      <c r="J6" s="76" t="inlineStr"/>
      <c r="K6" s="76" t="inlineStr"/>
      <c r="L6" s="59" t="inlineStr"/>
      <c r="M6" s="75" t="inlineStr">
        <is>
          <t>Finalizat</t>
        </is>
      </c>
      <c r="N6" s="76" t="inlineStr"/>
      <c r="O6" s="76" t="inlineStr"/>
      <c r="P6" s="59" t="inlineStr"/>
      <c r="Q6" s="75" t="inlineStr">
        <is>
          <t>Finalizat</t>
        </is>
      </c>
      <c r="R6" s="76" t="inlineStr"/>
      <c r="S6" s="76" t="inlineStr"/>
      <c r="T6" s="59" t="inlineStr"/>
      <c r="U6" s="75" t="inlineStr">
        <is>
          <t>Finalizat</t>
        </is>
      </c>
      <c r="V6" s="76" t="inlineStr"/>
      <c r="W6" s="76" t="inlineStr"/>
      <c r="X6" s="59" t="inlineStr"/>
      <c r="Y6" s="75" t="inlineStr">
        <is>
          <t>Finalizat</t>
        </is>
      </c>
      <c r="Z6" s="76" t="inlineStr"/>
      <c r="AA6" s="76" t="inlineStr"/>
      <c r="AB6" s="59" t="inlineStr">
        <is>
          <t>OK</t>
        </is>
      </c>
      <c r="AC6" s="136" t="n"/>
    </row>
    <row r="7" ht="18" customHeight="1">
      <c r="A7" s="67" t="inlineStr">
        <is>
          <t>WP1000-08</t>
        </is>
      </c>
      <c r="B7" s="68" t="n">
        <v>4</v>
      </c>
      <c r="C7" s="69" t="inlineStr">
        <is>
          <t>Compactor intrare</t>
        </is>
      </c>
      <c r="D7" s="70" t="inlineStr">
        <is>
          <t>🟢</t>
        </is>
      </c>
      <c r="E7" s="155">
        <f>IF(G7="DA","⛔ BLOCAT",IF(H7="DA","⚠ INTARZIAT",IF(COUNTIF(I7,"În coadă")+COUNTIF(M7,"În coadă")+COUNTIF(Q7,"În coadă")+COUNTIF(U7,"În coadă")+COUNTIF(Y7,"În coadă")&gt;0,"🔵 ÎN COADĂ",IF(F7=1,"✅ FINALIZAT",IF(F7&gt;0,"🔄 IN LUCRU","○ NEINCEPUT")))))</f>
        <v/>
      </c>
      <c r="F7" s="72">
        <f>IFERROR((COUNTIF(I7,"Finalizat")+COUNTIF(M7,"Finalizat")+COUNTIF(Q7,"Finalizat")+COUNTIF(U7,"Finalizat")+COUNTIF(Y7,"Finalizat"))/(5-COUNTIF(I7,"N/A")-COUNTIF(M7,"N/A")-COUNTIF(Q7,"N/A")-COUNTIF(U7,"N/A")-COUNTIF(Y7,"N/A")),0)</f>
        <v/>
      </c>
      <c r="G7" s="73">
        <f>IF(COUNTIF(I7,"Blocat")+COUNTIF(M7,"Blocat")+COUNTIF(Q7,"Blocat")+COUNTIF(U7,"Blocat")+COUNTIF(Y7,"Blocat")&gt;0,"DA","")</f>
        <v/>
      </c>
      <c r="H7" s="74">
        <f>IF(COUNTIF(I7,"Întârziat")+COUNTIF(M7,"Întârziat")+COUNTIF(Q7,"Întârziat")+COUNTIF(U7,"Întârziat")+COUNTIF(Y7,"Întârziat")&gt;0,"DA","")</f>
        <v/>
      </c>
      <c r="I7" s="75" t="inlineStr">
        <is>
          <t>Finalizat</t>
        </is>
      </c>
      <c r="J7" s="76" t="inlineStr"/>
      <c r="K7" s="76" t="inlineStr"/>
      <c r="L7" s="59" t="inlineStr"/>
      <c r="M7" s="75" t="inlineStr">
        <is>
          <t>Finalizat</t>
        </is>
      </c>
      <c r="N7" s="76" t="inlineStr"/>
      <c r="O7" s="76" t="inlineStr"/>
      <c r="P7" s="59" t="inlineStr"/>
      <c r="Q7" s="75" t="inlineStr">
        <is>
          <t>Finalizat</t>
        </is>
      </c>
      <c r="R7" s="76" t="inlineStr"/>
      <c r="S7" s="76" t="inlineStr"/>
      <c r="T7" s="59" t="inlineStr"/>
      <c r="U7" s="75" t="inlineStr">
        <is>
          <t>Finalizat</t>
        </is>
      </c>
      <c r="V7" s="76" t="inlineStr"/>
      <c r="W7" s="76" t="inlineStr"/>
      <c r="X7" s="59" t="inlineStr"/>
      <c r="Y7" s="75" t="inlineStr">
        <is>
          <t>Finalizat</t>
        </is>
      </c>
      <c r="Z7" s="76" t="inlineStr"/>
      <c r="AA7" s="76" t="inlineStr"/>
      <c r="AB7" s="59" t="inlineStr">
        <is>
          <t>OK</t>
        </is>
      </c>
      <c r="AC7" s="136" t="n"/>
    </row>
    <row r="8" ht="18" customHeight="1">
      <c r="A8" s="67" t="inlineStr">
        <is>
          <t>WP1000-08</t>
        </is>
      </c>
      <c r="B8" s="68" t="n">
        <v>5</v>
      </c>
      <c r="C8" s="69" t="inlineStr">
        <is>
          <t>Reactor superior</t>
        </is>
      </c>
      <c r="D8" s="70" t="inlineStr">
        <is>
          <t>🟢</t>
        </is>
      </c>
      <c r="E8" s="155">
        <f>IF(G8="DA","⛔ BLOCAT",IF(H8="DA","⚠ INTARZIAT",IF(COUNTIF(I8,"În coadă")+COUNTIF(M8,"În coadă")+COUNTIF(Q8,"În coadă")+COUNTIF(U8,"În coadă")+COUNTIF(Y8,"În coadă")&gt;0,"🔵 ÎN COADĂ",IF(F8=1,"✅ FINALIZAT",IF(F8&gt;0,"🔄 IN LUCRU","○ NEINCEPUT")))))</f>
        <v/>
      </c>
      <c r="F8" s="72">
        <f>IFERROR((COUNTIF(I8,"Finalizat")+COUNTIF(M8,"Finalizat")+COUNTIF(Q8,"Finalizat")+COUNTIF(U8,"Finalizat")+COUNTIF(Y8,"Finalizat"))/(5-COUNTIF(I8,"N/A")-COUNTIF(M8,"N/A")-COUNTIF(Q8,"N/A")-COUNTIF(U8,"N/A")-COUNTIF(Y8,"N/A")),0)</f>
        <v/>
      </c>
      <c r="G8" s="73">
        <f>IF(COUNTIF(I8,"Blocat")+COUNTIF(M8,"Blocat")+COUNTIF(Q8,"Blocat")+COUNTIF(U8,"Blocat")+COUNTIF(Y8,"Blocat")&gt;0,"DA","")</f>
        <v/>
      </c>
      <c r="H8" s="74">
        <f>IF(COUNTIF(I8,"Întârziat")+COUNTIF(M8,"Întârziat")+COUNTIF(Q8,"Întârziat")+COUNTIF(U8,"Întârziat")+COUNTIF(Y8,"Întârziat")&gt;0,"DA","")</f>
        <v/>
      </c>
      <c r="I8" s="75" t="inlineStr">
        <is>
          <t>Finalizat</t>
        </is>
      </c>
      <c r="J8" s="76" t="inlineStr"/>
      <c r="K8" s="76" t="inlineStr"/>
      <c r="L8" s="59" t="inlineStr"/>
      <c r="M8" s="75" t="inlineStr">
        <is>
          <t>Finalizat</t>
        </is>
      </c>
      <c r="N8" s="76" t="inlineStr"/>
      <c r="O8" s="76" t="inlineStr"/>
      <c r="P8" s="59" t="inlineStr"/>
      <c r="Q8" s="75" t="inlineStr">
        <is>
          <t>Finalizat</t>
        </is>
      </c>
      <c r="R8" s="76" t="inlineStr"/>
      <c r="S8" s="76" t="inlineStr"/>
      <c r="T8" s="59" t="inlineStr"/>
      <c r="U8" s="75" t="inlineStr">
        <is>
          <t>Finalizat</t>
        </is>
      </c>
      <c r="V8" s="76" t="inlineStr"/>
      <c r="W8" s="76" t="inlineStr"/>
      <c r="X8" s="59" t="inlineStr"/>
      <c r="Y8" s="75" t="inlineStr">
        <is>
          <t>Finalizat</t>
        </is>
      </c>
      <c r="Z8" s="76" t="inlineStr"/>
      <c r="AA8" s="76" t="inlineStr"/>
      <c r="AB8" s="59" t="inlineStr">
        <is>
          <t>OK</t>
        </is>
      </c>
      <c r="AC8" s="136" t="n"/>
    </row>
    <row r="9" ht="18" customHeight="1">
      <c r="A9" s="67" t="inlineStr">
        <is>
          <t>WP1000-08</t>
        </is>
      </c>
      <c r="B9" s="68" t="n">
        <v>6</v>
      </c>
      <c r="C9" s="69" t="inlineStr">
        <is>
          <t>Reactor inferior</t>
        </is>
      </c>
      <c r="D9" s="70" t="inlineStr">
        <is>
          <t>🟢</t>
        </is>
      </c>
      <c r="E9" s="155">
        <f>IF(G9="DA","⛔ BLOCAT",IF(H9="DA","⚠ INTARZIAT",IF(COUNTIF(I9,"În coadă")+COUNTIF(M9,"În coadă")+COUNTIF(Q9,"În coadă")+COUNTIF(U9,"În coadă")+COUNTIF(Y9,"În coadă")&gt;0,"🔵 ÎN COADĂ",IF(F9=1,"✅ FINALIZAT",IF(F9&gt;0,"🔄 IN LUCRU","○ NEINCEPUT")))))</f>
        <v/>
      </c>
      <c r="F9" s="72">
        <f>IFERROR((COUNTIF(I9,"Finalizat")+COUNTIF(M9,"Finalizat")+COUNTIF(Q9,"Finalizat")+COUNTIF(U9,"Finalizat")+COUNTIF(Y9,"Finalizat"))/(5-COUNTIF(I9,"N/A")-COUNTIF(M9,"N/A")-COUNTIF(Q9,"N/A")-COUNTIF(U9,"N/A")-COUNTIF(Y9,"N/A")),0)</f>
        <v/>
      </c>
      <c r="G9" s="73">
        <f>IF(COUNTIF(I9,"Blocat")+COUNTIF(M9,"Blocat")+COUNTIF(Q9,"Blocat")+COUNTIF(U9,"Blocat")+COUNTIF(Y9,"Blocat")&gt;0,"DA","")</f>
        <v/>
      </c>
      <c r="H9" s="74">
        <f>IF(COUNTIF(I9,"Întârziat")+COUNTIF(M9,"Întârziat")+COUNTIF(Q9,"Întârziat")+COUNTIF(U9,"Întârziat")+COUNTIF(Y9,"Întârziat")&gt;0,"DA","")</f>
        <v/>
      </c>
      <c r="I9" s="75" t="inlineStr">
        <is>
          <t>Finalizat</t>
        </is>
      </c>
      <c r="J9" s="76" t="inlineStr"/>
      <c r="K9" s="76" t="inlineStr"/>
      <c r="L9" s="59" t="inlineStr"/>
      <c r="M9" s="75" t="inlineStr">
        <is>
          <t>Finalizat</t>
        </is>
      </c>
      <c r="N9" s="76" t="inlineStr"/>
      <c r="O9" s="76" t="inlineStr"/>
      <c r="P9" s="59" t="inlineStr"/>
      <c r="Q9" s="75" t="inlineStr">
        <is>
          <t>Finalizat</t>
        </is>
      </c>
      <c r="R9" s="76" t="inlineStr"/>
      <c r="S9" s="76" t="inlineStr"/>
      <c r="T9" s="59" t="inlineStr"/>
      <c r="U9" s="75" t="inlineStr">
        <is>
          <t>Finalizat</t>
        </is>
      </c>
      <c r="V9" s="76" t="inlineStr"/>
      <c r="W9" s="76" t="inlineStr"/>
      <c r="X9" s="59" t="inlineStr"/>
      <c r="Y9" s="75" t="inlineStr">
        <is>
          <t>Finalizat</t>
        </is>
      </c>
      <c r="Z9" s="76" t="inlineStr"/>
      <c r="AA9" s="76" t="inlineStr"/>
      <c r="AB9" s="59" t="inlineStr">
        <is>
          <t>OK</t>
        </is>
      </c>
      <c r="AC9" s="136" t="n"/>
    </row>
    <row r="10" ht="18" customHeight="1">
      <c r="A10" s="67" t="inlineStr">
        <is>
          <t>WP1000-08</t>
        </is>
      </c>
      <c r="B10" s="68" t="n">
        <v>7</v>
      </c>
      <c r="C10" s="69" t="inlineStr">
        <is>
          <t>Suport reactor inferior</t>
        </is>
      </c>
      <c r="D10" s="70" t="inlineStr">
        <is>
          <t>🟢</t>
        </is>
      </c>
      <c r="E10" s="155">
        <f>IF(G10="DA","⛔ BLOCAT",IF(H10="DA","⚠ INTARZIAT",IF(COUNTIF(I10,"În coadă")+COUNTIF(M10,"În coadă")+COUNTIF(Q10,"În coadă")+COUNTIF(U10,"În coadă")+COUNTIF(Y10,"În coadă")&gt;0,"🔵 ÎN COADĂ",IF(F10=1,"✅ FINALIZAT",IF(F10&gt;0,"🔄 IN LUCRU","○ NEINCEPUT")))))</f>
        <v/>
      </c>
      <c r="F10" s="72">
        <f>IFERROR((COUNTIF(I10,"Finalizat")+COUNTIF(M10,"Finalizat")+COUNTIF(Q10,"Finalizat")+COUNTIF(U10,"Finalizat")+COUNTIF(Y10,"Finalizat"))/(5-COUNTIF(I10,"N/A")-COUNTIF(M10,"N/A")-COUNTIF(Q10,"N/A")-COUNTIF(U10,"N/A")-COUNTIF(Y10,"N/A")),0)</f>
        <v/>
      </c>
      <c r="G10" s="73">
        <f>IF(COUNTIF(I10,"Blocat")+COUNTIF(M10,"Blocat")+COUNTIF(Q10,"Blocat")+COUNTIF(U10,"Blocat")+COUNTIF(Y10,"Blocat")&gt;0,"DA","")</f>
        <v/>
      </c>
      <c r="H10" s="74">
        <f>IF(COUNTIF(I10,"Întârziat")+COUNTIF(M10,"Întârziat")+COUNTIF(Q10,"Întârziat")+COUNTIF(U10,"Întârziat")+COUNTIF(Y10,"Întârziat")&gt;0,"DA","")</f>
        <v/>
      </c>
      <c r="I10" s="75" t="inlineStr">
        <is>
          <t>Finalizat</t>
        </is>
      </c>
      <c r="J10" s="76" t="inlineStr"/>
      <c r="K10" s="76" t="inlineStr"/>
      <c r="L10" s="59" t="inlineStr"/>
      <c r="M10" s="77" t="inlineStr">
        <is>
          <t>N/A</t>
        </is>
      </c>
      <c r="N10" s="76" t="inlineStr"/>
      <c r="O10" s="76" t="inlineStr"/>
      <c r="P10" s="59" t="inlineStr"/>
      <c r="Q10" s="75" t="inlineStr">
        <is>
          <t>Finalizat</t>
        </is>
      </c>
      <c r="R10" s="76" t="inlineStr"/>
      <c r="S10" s="76" t="inlineStr"/>
      <c r="T10" s="59" t="inlineStr"/>
      <c r="U10" s="75" t="inlineStr">
        <is>
          <t>Finalizat</t>
        </is>
      </c>
      <c r="V10" s="76" t="inlineStr"/>
      <c r="W10" s="76" t="inlineStr"/>
      <c r="X10" s="59" t="inlineStr"/>
      <c r="Y10" s="75" t="inlineStr">
        <is>
          <t>Finalizat</t>
        </is>
      </c>
      <c r="Z10" s="76" t="inlineStr"/>
      <c r="AA10" s="76" t="inlineStr"/>
      <c r="AB10" s="59" t="inlineStr">
        <is>
          <t>OK</t>
        </is>
      </c>
      <c r="AC10" s="136" t="n"/>
    </row>
    <row r="11" ht="18" customHeight="1">
      <c r="A11" s="67" t="inlineStr">
        <is>
          <t>WP1000-08</t>
        </is>
      </c>
      <c r="B11" s="68" t="n">
        <v>8</v>
      </c>
      <c r="C11" s="69" t="inlineStr">
        <is>
          <t>Filtru Gudroane</t>
        </is>
      </c>
      <c r="D11" s="70" t="inlineStr">
        <is>
          <t>🟢</t>
        </is>
      </c>
      <c r="E11" s="155">
        <f>IF(G11="DA","⛔ BLOCAT",IF(H11="DA","⚠ INTARZIAT",IF(COUNTIF(I11,"În coadă")+COUNTIF(M11,"În coadă")+COUNTIF(Q11,"În coadă")+COUNTIF(U11,"În coadă")+COUNTIF(Y11,"În coadă")&gt;0,"🔵 ÎN COADĂ",IF(F11=1,"✅ FINALIZAT",IF(F11&gt;0,"🔄 IN LUCRU","○ NEINCEPUT")))))</f>
        <v/>
      </c>
      <c r="F11" s="72">
        <f>IFERROR((COUNTIF(I11,"Finalizat")+COUNTIF(M11,"Finalizat")+COUNTIF(Q11,"Finalizat")+COUNTIF(U11,"Finalizat")+COUNTIF(Y11,"Finalizat"))/(5-COUNTIF(I11,"N/A")-COUNTIF(M11,"N/A")-COUNTIF(Q11,"N/A")-COUNTIF(U11,"N/A")-COUNTIF(Y11,"N/A")),0)</f>
        <v/>
      </c>
      <c r="G11" s="73">
        <f>IF(COUNTIF(I11,"Blocat")+COUNTIF(M11,"Blocat")+COUNTIF(Q11,"Blocat")+COUNTIF(U11,"Blocat")+COUNTIF(Y11,"Blocat")&gt;0,"DA","")</f>
        <v/>
      </c>
      <c r="H11" s="74">
        <f>IF(COUNTIF(I11,"Întârziat")+COUNTIF(M11,"Întârziat")+COUNTIF(Q11,"Întârziat")+COUNTIF(U11,"Întârziat")+COUNTIF(Y11,"Întârziat")&gt;0,"DA","")</f>
        <v/>
      </c>
      <c r="I11" s="75" t="inlineStr">
        <is>
          <t>Finalizat</t>
        </is>
      </c>
      <c r="J11" s="76" t="inlineStr"/>
      <c r="K11" s="76" t="inlineStr"/>
      <c r="L11" s="59" t="inlineStr"/>
      <c r="M11" s="75" t="inlineStr">
        <is>
          <t>Finalizat</t>
        </is>
      </c>
      <c r="N11" s="76" t="inlineStr"/>
      <c r="O11" s="76" t="inlineStr"/>
      <c r="P11" s="59" t="inlineStr"/>
      <c r="Q11" s="75" t="inlineStr">
        <is>
          <t>Finalizat</t>
        </is>
      </c>
      <c r="R11" s="76" t="inlineStr"/>
      <c r="S11" s="76" t="inlineStr"/>
      <c r="T11" s="59" t="inlineStr"/>
      <c r="U11" s="75" t="inlineStr">
        <is>
          <t>Finalizat</t>
        </is>
      </c>
      <c r="V11" s="76" t="inlineStr"/>
      <c r="W11" s="76" t="inlineStr"/>
      <c r="X11" s="59" t="inlineStr"/>
      <c r="Y11" s="75" t="inlineStr">
        <is>
          <t>Finalizat</t>
        </is>
      </c>
      <c r="Z11" s="76" t="inlineStr"/>
      <c r="AA11" s="76" t="inlineStr"/>
      <c r="AB11" s="59" t="inlineStr">
        <is>
          <t>OK</t>
        </is>
      </c>
      <c r="AC11" s="136" t="n"/>
    </row>
    <row r="12" ht="18" customHeight="1">
      <c r="A12" s="67" t="inlineStr">
        <is>
          <t>WP1000-08</t>
        </is>
      </c>
      <c r="B12" s="68" t="n">
        <v>9</v>
      </c>
      <c r="C12" s="69" t="inlineStr">
        <is>
          <t>Ventori scrubber</t>
        </is>
      </c>
      <c r="D12" s="70" t="inlineStr">
        <is>
          <t>🟢</t>
        </is>
      </c>
      <c r="E12" s="155">
        <f>IF(G12="DA","⛔ BLOCAT",IF(H12="DA","⚠ INTARZIAT",IF(COUNTIF(I12,"În coadă")+COUNTIF(M12,"În coadă")+COUNTIF(Q12,"În coadă")+COUNTIF(U12,"În coadă")+COUNTIF(Y12,"În coadă")&gt;0,"🔵 ÎN COADĂ",IF(F12=1,"✅ FINALIZAT",IF(F12&gt;0,"🔄 IN LUCRU","○ NEINCEPUT")))))</f>
        <v/>
      </c>
      <c r="F12" s="72">
        <f>IFERROR((COUNTIF(I12,"Finalizat")+COUNTIF(M12,"Finalizat")+COUNTIF(Q12,"Finalizat")+COUNTIF(U12,"Finalizat")+COUNTIF(Y12,"Finalizat"))/(5-COUNTIF(I12,"N/A")-COUNTIF(M12,"N/A")-COUNTIF(Q12,"N/A")-COUNTIF(U12,"N/A")-COUNTIF(Y12,"N/A")),0)</f>
        <v/>
      </c>
      <c r="G12" s="73">
        <f>IF(COUNTIF(I12,"Blocat")+COUNTIF(M12,"Blocat")+COUNTIF(Q12,"Blocat")+COUNTIF(U12,"Blocat")+COUNTIF(Y12,"Blocat")&gt;0,"DA","")</f>
        <v/>
      </c>
      <c r="H12" s="74">
        <f>IF(COUNTIF(I12,"Întârziat")+COUNTIF(M12,"Întârziat")+COUNTIF(Q12,"Întârziat")+COUNTIF(U12,"Întârziat")+COUNTIF(Y12,"Întârziat")&gt;0,"DA","")</f>
        <v/>
      </c>
      <c r="I12" s="75" t="inlineStr">
        <is>
          <t>Finalizat</t>
        </is>
      </c>
      <c r="J12" s="76" t="inlineStr"/>
      <c r="K12" s="76" t="inlineStr"/>
      <c r="L12" s="59" t="inlineStr"/>
      <c r="M12" s="77" t="inlineStr">
        <is>
          <t>N/A</t>
        </is>
      </c>
      <c r="N12" s="76" t="inlineStr"/>
      <c r="O12" s="76" t="inlineStr"/>
      <c r="P12" s="59" t="inlineStr"/>
      <c r="Q12" s="75" t="inlineStr">
        <is>
          <t>Finalizat</t>
        </is>
      </c>
      <c r="R12" s="76" t="inlineStr"/>
      <c r="S12" s="76" t="inlineStr"/>
      <c r="T12" s="59" t="inlineStr"/>
      <c r="U12" s="75" t="inlineStr">
        <is>
          <t>Finalizat</t>
        </is>
      </c>
      <c r="V12" s="76" t="inlineStr"/>
      <c r="W12" s="76" t="inlineStr"/>
      <c r="X12" s="59" t="inlineStr"/>
      <c r="Y12" s="75" t="inlineStr">
        <is>
          <t>Finalizat</t>
        </is>
      </c>
      <c r="Z12" s="76" t="inlineStr"/>
      <c r="AA12" s="76" t="inlineStr"/>
      <c r="AB12" s="59" t="inlineStr">
        <is>
          <t>OK</t>
        </is>
      </c>
      <c r="AC12" s="136" t="n"/>
    </row>
    <row r="13" ht="18" customHeight="1">
      <c r="A13" s="67" t="inlineStr">
        <is>
          <t>WP1000-08</t>
        </is>
      </c>
      <c r="B13" s="68" t="n">
        <v>10</v>
      </c>
      <c r="C13" s="69" t="inlineStr">
        <is>
          <t>Rezervor metalic (racitor)</t>
        </is>
      </c>
      <c r="D13" s="70" t="inlineStr">
        <is>
          <t>🟢</t>
        </is>
      </c>
      <c r="E13" s="155">
        <f>IF(G13="DA","⛔ BLOCAT",IF(H13="DA","⚠ INTARZIAT",IF(COUNTIF(I13,"În coadă")+COUNTIF(M13,"În coadă")+COUNTIF(Q13,"În coadă")+COUNTIF(U13,"În coadă")+COUNTIF(Y13,"În coadă")&gt;0,"🔵 ÎN COADĂ",IF(F13=1,"✅ FINALIZAT",IF(F13&gt;0,"🔄 IN LUCRU","○ NEINCEPUT")))))</f>
        <v/>
      </c>
      <c r="F13" s="72">
        <f>IFERROR((COUNTIF(I13,"Finalizat")+COUNTIF(M13,"Finalizat")+COUNTIF(Q13,"Finalizat")+COUNTIF(U13,"Finalizat")+COUNTIF(Y13,"Finalizat"))/(5-COUNTIF(I13,"N/A")-COUNTIF(M13,"N/A")-COUNTIF(Q13,"N/A")-COUNTIF(U13,"N/A")-COUNTIF(Y13,"N/A")),0)</f>
        <v/>
      </c>
      <c r="G13" s="73">
        <f>IF(COUNTIF(I13,"Blocat")+COUNTIF(M13,"Blocat")+COUNTIF(Q13,"Blocat")+COUNTIF(U13,"Blocat")+COUNTIF(Y13,"Blocat")&gt;0,"DA","")</f>
        <v/>
      </c>
      <c r="H13" s="74">
        <f>IF(COUNTIF(I13,"Întârziat")+COUNTIF(M13,"Întârziat")+COUNTIF(Q13,"Întârziat")+COUNTIF(U13,"Întârziat")+COUNTIF(Y13,"Întârziat")&gt;0,"DA","")</f>
        <v/>
      </c>
      <c r="I13" s="75" t="inlineStr">
        <is>
          <t>Finalizat</t>
        </is>
      </c>
      <c r="J13" s="76" t="inlineStr"/>
      <c r="K13" s="76" t="inlineStr"/>
      <c r="L13" s="59" t="inlineStr"/>
      <c r="M13" s="75" t="inlineStr">
        <is>
          <t>Finalizat</t>
        </is>
      </c>
      <c r="N13" s="76" t="inlineStr"/>
      <c r="O13" s="76" t="inlineStr"/>
      <c r="P13" s="59" t="inlineStr"/>
      <c r="Q13" s="75" t="inlineStr">
        <is>
          <t>Finalizat</t>
        </is>
      </c>
      <c r="R13" s="76" t="inlineStr"/>
      <c r="S13" s="76" t="inlineStr"/>
      <c r="T13" s="59" t="inlineStr"/>
      <c r="U13" s="75" t="inlineStr">
        <is>
          <t>Finalizat</t>
        </is>
      </c>
      <c r="V13" s="76" t="inlineStr"/>
      <c r="W13" s="76" t="inlineStr"/>
      <c r="X13" s="59" t="inlineStr"/>
      <c r="Y13" s="75" t="inlineStr">
        <is>
          <t>Finalizat</t>
        </is>
      </c>
      <c r="Z13" s="76" t="inlineStr"/>
      <c r="AA13" s="76" t="inlineStr"/>
      <c r="AB13" s="59" t="inlineStr">
        <is>
          <t>OK</t>
        </is>
      </c>
      <c r="AC13" s="136" t="n"/>
    </row>
    <row r="14" ht="18" customHeight="1">
      <c r="A14" s="67" t="inlineStr">
        <is>
          <t>WP1000-08</t>
        </is>
      </c>
      <c r="B14" s="68" t="n">
        <v>11</v>
      </c>
      <c r="C14" s="69" t="inlineStr">
        <is>
          <t>Barbutoare</t>
        </is>
      </c>
      <c r="D14" s="70" t="inlineStr">
        <is>
          <t>🟢</t>
        </is>
      </c>
      <c r="E14" s="155">
        <f>IF(G14="DA","⛔ BLOCAT",IF(H14="DA","⚠ INTARZIAT",IF(COUNTIF(I14,"În coadă")+COUNTIF(M14,"În coadă")+COUNTIF(Q14,"În coadă")+COUNTIF(U14,"În coadă")+COUNTIF(Y14,"În coadă")&gt;0,"🔵 ÎN COADĂ",IF(F14=1,"✅ FINALIZAT",IF(F14&gt;0,"🔄 IN LUCRU","○ NEINCEPUT")))))</f>
        <v/>
      </c>
      <c r="F14" s="72">
        <f>IFERROR((COUNTIF(I14,"Finalizat")+COUNTIF(M14,"Finalizat")+COUNTIF(Q14,"Finalizat")+COUNTIF(U14,"Finalizat")+COUNTIF(Y14,"Finalizat"))/(5-COUNTIF(I14,"N/A")-COUNTIF(M14,"N/A")-COUNTIF(Q14,"N/A")-COUNTIF(U14,"N/A")-COUNTIF(Y14,"N/A")),0)</f>
        <v/>
      </c>
      <c r="G14" s="73">
        <f>IF(COUNTIF(I14,"Blocat")+COUNTIF(M14,"Blocat")+COUNTIF(Q14,"Blocat")+COUNTIF(U14,"Blocat")+COUNTIF(Y14,"Blocat")&gt;0,"DA","")</f>
        <v/>
      </c>
      <c r="H14" s="74">
        <f>IF(COUNTIF(I14,"Întârziat")+COUNTIF(M14,"Întârziat")+COUNTIF(Q14,"Întârziat")+COUNTIF(U14,"Întârziat")+COUNTIF(Y14,"Întârziat")&gt;0,"DA","")</f>
        <v/>
      </c>
      <c r="I14" s="75" t="inlineStr">
        <is>
          <t>Finalizat</t>
        </is>
      </c>
      <c r="J14" s="76" t="inlineStr"/>
      <c r="K14" s="76" t="inlineStr"/>
      <c r="L14" s="59" t="inlineStr"/>
      <c r="M14" s="77" t="inlineStr">
        <is>
          <t>N/A</t>
        </is>
      </c>
      <c r="N14" s="76" t="inlineStr"/>
      <c r="O14" s="76" t="inlineStr"/>
      <c r="P14" s="59" t="inlineStr"/>
      <c r="Q14" s="75" t="inlineStr">
        <is>
          <t>Finalizat</t>
        </is>
      </c>
      <c r="R14" s="76" t="inlineStr"/>
      <c r="S14" s="76" t="inlineStr"/>
      <c r="T14" s="59" t="inlineStr"/>
      <c r="U14" s="75" t="inlineStr">
        <is>
          <t>Finalizat</t>
        </is>
      </c>
      <c r="V14" s="76" t="inlineStr"/>
      <c r="W14" s="76" t="inlineStr"/>
      <c r="X14" s="59" t="inlineStr"/>
      <c r="Y14" s="75" t="inlineStr">
        <is>
          <t>Finalizat</t>
        </is>
      </c>
      <c r="Z14" s="76" t="inlineStr"/>
      <c r="AA14" s="76" t="inlineStr"/>
      <c r="AB14" s="59" t="inlineStr">
        <is>
          <t>OK</t>
        </is>
      </c>
      <c r="AC14" s="136" t="n"/>
    </row>
    <row r="15" ht="18" customHeight="1">
      <c r="A15" s="67" t="inlineStr">
        <is>
          <t>WP1000-08</t>
        </is>
      </c>
      <c r="B15" s="68" t="n">
        <v>12</v>
      </c>
      <c r="C15" s="69" t="inlineStr">
        <is>
          <t>Filtre</t>
        </is>
      </c>
      <c r="D15" s="70" t="inlineStr">
        <is>
          <t>🟢</t>
        </is>
      </c>
      <c r="E15" s="155">
        <f>IF(G15="DA","⛔ BLOCAT",IF(H15="DA","⚠ INTARZIAT",IF(COUNTIF(I15,"În coadă")+COUNTIF(M15,"În coadă")+COUNTIF(Q15,"În coadă")+COUNTIF(U15,"În coadă")+COUNTIF(Y15,"În coadă")&gt;0,"🔵 ÎN COADĂ",IF(F15=1,"✅ FINALIZAT",IF(F15&gt;0,"🔄 IN LUCRU","○ NEINCEPUT")))))</f>
        <v/>
      </c>
      <c r="F15" s="72">
        <f>IFERROR((COUNTIF(I15,"Finalizat")+COUNTIF(M15,"Finalizat")+COUNTIF(Q15,"Finalizat")+COUNTIF(U15,"Finalizat")+COUNTIF(Y15,"Finalizat"))/(5-COUNTIF(I15,"N/A")-COUNTIF(M15,"N/A")-COUNTIF(Q15,"N/A")-COUNTIF(U15,"N/A")-COUNTIF(Y15,"N/A")),0)</f>
        <v/>
      </c>
      <c r="G15" s="73">
        <f>IF(COUNTIF(I15,"Blocat")+COUNTIF(M15,"Blocat")+COUNTIF(Q15,"Blocat")+COUNTIF(U15,"Blocat")+COUNTIF(Y15,"Blocat")&gt;0,"DA","")</f>
        <v/>
      </c>
      <c r="H15" s="74">
        <f>IF(COUNTIF(I15,"Întârziat")+COUNTIF(M15,"Întârziat")+COUNTIF(Q15,"Întârziat")+COUNTIF(U15,"Întârziat")+COUNTIF(Y15,"Întârziat")&gt;0,"DA","")</f>
        <v/>
      </c>
      <c r="I15" s="75" t="inlineStr">
        <is>
          <t>Finalizat</t>
        </is>
      </c>
      <c r="J15" s="76" t="inlineStr"/>
      <c r="K15" s="76" t="inlineStr"/>
      <c r="L15" s="59" t="inlineStr"/>
      <c r="M15" s="77" t="inlineStr">
        <is>
          <t>N/A</t>
        </is>
      </c>
      <c r="N15" s="76" t="inlineStr"/>
      <c r="O15" s="76" t="inlineStr"/>
      <c r="P15" s="59" t="inlineStr"/>
      <c r="Q15" s="75" t="inlineStr">
        <is>
          <t>Finalizat</t>
        </is>
      </c>
      <c r="R15" s="76" t="inlineStr"/>
      <c r="S15" s="76" t="inlineStr"/>
      <c r="T15" s="59" t="inlineStr"/>
      <c r="U15" s="75" t="inlineStr">
        <is>
          <t>Finalizat</t>
        </is>
      </c>
      <c r="V15" s="76" t="inlineStr"/>
      <c r="W15" s="76" t="inlineStr"/>
      <c r="X15" s="59" t="inlineStr"/>
      <c r="Y15" s="75" t="inlineStr">
        <is>
          <t>Finalizat</t>
        </is>
      </c>
      <c r="Z15" s="76" t="inlineStr"/>
      <c r="AA15" s="76" t="inlineStr"/>
      <c r="AB15" s="59" t="inlineStr">
        <is>
          <t>OK</t>
        </is>
      </c>
      <c r="AC15" s="136" t="n"/>
    </row>
    <row r="16" ht="18" customHeight="1">
      <c r="A16" s="67" t="inlineStr">
        <is>
          <t>WP1000-08</t>
        </is>
      </c>
      <c r="B16" s="68" t="n">
        <v>13</v>
      </c>
      <c r="C16" s="69" t="inlineStr">
        <is>
          <t>Sistem de tevi</t>
        </is>
      </c>
      <c r="D16" s="70" t="inlineStr">
        <is>
          <t>🟢</t>
        </is>
      </c>
      <c r="E16" s="155">
        <f>IF(G16="DA","⛔ BLOCAT",IF(H16="DA","⚠ INTARZIAT",IF(COUNTIF(I16,"În coadă")+COUNTIF(M16,"În coadă")+COUNTIF(Q16,"În coadă")+COUNTIF(U16,"În coadă")+COUNTIF(Y16,"În coadă")&gt;0,"🔵 ÎN COADĂ",IF(F16=1,"✅ FINALIZAT",IF(F16&gt;0,"🔄 IN LUCRU","○ NEINCEPUT")))))</f>
        <v/>
      </c>
      <c r="F16" s="72">
        <f>IFERROR((COUNTIF(I16,"Finalizat")+COUNTIF(M16,"Finalizat")+COUNTIF(Q16,"Finalizat")+COUNTIF(U16,"Finalizat")+COUNTIF(Y16,"Finalizat"))/(5-COUNTIF(I16,"N/A")-COUNTIF(M16,"N/A")-COUNTIF(Q16,"N/A")-COUNTIF(U16,"N/A")-COUNTIF(Y16,"N/A")),0)</f>
        <v/>
      </c>
      <c r="G16" s="73">
        <f>IF(COUNTIF(I16,"Blocat")+COUNTIF(M16,"Blocat")+COUNTIF(Q16,"Blocat")+COUNTIF(U16,"Blocat")+COUNTIF(Y16,"Blocat")&gt;0,"DA","")</f>
        <v/>
      </c>
      <c r="H16" s="74">
        <f>IF(COUNTIF(I16,"Întârziat")+COUNTIF(M16,"Întârziat")+COUNTIF(Q16,"Întârziat")+COUNTIF(U16,"Întârziat")+COUNTIF(Y16,"Întârziat")&gt;0,"DA","")</f>
        <v/>
      </c>
      <c r="I16" s="75" t="inlineStr">
        <is>
          <t>Finalizat</t>
        </is>
      </c>
      <c r="J16" s="76" t="inlineStr"/>
      <c r="K16" s="76" t="inlineStr"/>
      <c r="L16" s="59" t="inlineStr"/>
      <c r="M16" s="77" t="inlineStr">
        <is>
          <t>N/A</t>
        </is>
      </c>
      <c r="N16" s="76" t="inlineStr"/>
      <c r="O16" s="76" t="inlineStr"/>
      <c r="P16" s="59" t="inlineStr"/>
      <c r="Q16" s="75" t="inlineStr">
        <is>
          <t>Finalizat</t>
        </is>
      </c>
      <c r="R16" s="76" t="inlineStr"/>
      <c r="S16" s="76" t="inlineStr"/>
      <c r="T16" s="59" t="inlineStr"/>
      <c r="U16" s="75" t="inlineStr">
        <is>
          <t>Finalizat</t>
        </is>
      </c>
      <c r="V16" s="76" t="inlineStr"/>
      <c r="W16" s="76" t="inlineStr"/>
      <c r="X16" s="59" t="inlineStr"/>
      <c r="Y16" s="77" t="inlineStr">
        <is>
          <t>N/A</t>
        </is>
      </c>
      <c r="Z16" s="76" t="inlineStr"/>
      <c r="AA16" s="76" t="inlineStr"/>
      <c r="AB16" s="59" t="inlineStr">
        <is>
          <t>OK</t>
        </is>
      </c>
      <c r="AC16" s="136" t="n"/>
    </row>
    <row r="17" ht="18" customHeight="1">
      <c r="A17" s="67" t="inlineStr">
        <is>
          <t>WP1000-08</t>
        </is>
      </c>
      <c r="B17" s="68" t="n">
        <v>14</v>
      </c>
      <c r="C17" s="69" t="inlineStr">
        <is>
          <t>Snec reactor superior</t>
        </is>
      </c>
      <c r="D17" s="70" t="inlineStr">
        <is>
          <t>🟢</t>
        </is>
      </c>
      <c r="E17" s="155">
        <f>IF(G17="DA","⛔ BLOCAT",IF(H17="DA","⚠ INTARZIAT",IF(COUNTIF(I17,"În coadă")+COUNTIF(M17,"În coadă")+COUNTIF(Q17,"În coadă")+COUNTIF(U17,"În coadă")+COUNTIF(Y17,"În coadă")&gt;0,"🔵 ÎN COADĂ",IF(F17=1,"✅ FINALIZAT",IF(F17&gt;0,"🔄 IN LUCRU","○ NEINCEPUT")))))</f>
        <v/>
      </c>
      <c r="F17" s="72">
        <f>IFERROR((COUNTIF(I17,"Finalizat")+COUNTIF(M17,"Finalizat")+COUNTIF(Q17,"Finalizat")+COUNTIF(U17,"Finalizat")+COUNTIF(Y17,"Finalizat"))/(5-COUNTIF(I17,"N/A")-COUNTIF(M17,"N/A")-COUNTIF(Q17,"N/A")-COUNTIF(U17,"N/A")-COUNTIF(Y17,"N/A")),0)</f>
        <v/>
      </c>
      <c r="G17" s="73">
        <f>IF(COUNTIF(I17,"Blocat")+COUNTIF(M17,"Blocat")+COUNTIF(Q17,"Blocat")+COUNTIF(U17,"Blocat")+COUNTIF(Y17,"Blocat")&gt;0,"DA","")</f>
        <v/>
      </c>
      <c r="H17" s="74">
        <f>IF(COUNTIF(I17,"Întârziat")+COUNTIF(M17,"Întârziat")+COUNTIF(Q17,"Întârziat")+COUNTIF(U17,"Întârziat")+COUNTIF(Y17,"Întârziat")&gt;0,"DA","")</f>
        <v/>
      </c>
      <c r="I17" s="75" t="inlineStr">
        <is>
          <t>Finalizat</t>
        </is>
      </c>
      <c r="J17" s="76" t="inlineStr"/>
      <c r="K17" s="76" t="inlineStr"/>
      <c r="L17" s="59" t="inlineStr"/>
      <c r="M17" s="77" t="inlineStr">
        <is>
          <t>N/A</t>
        </is>
      </c>
      <c r="N17" s="76" t="inlineStr"/>
      <c r="O17" s="76" t="inlineStr"/>
      <c r="P17" s="59" t="inlineStr"/>
      <c r="Q17" s="75" t="inlineStr">
        <is>
          <t>Finalizat</t>
        </is>
      </c>
      <c r="R17" s="76" t="inlineStr"/>
      <c r="S17" s="76" t="inlineStr"/>
      <c r="T17" s="59" t="inlineStr"/>
      <c r="U17" s="75" t="inlineStr">
        <is>
          <t>Finalizat</t>
        </is>
      </c>
      <c r="V17" s="76" t="inlineStr"/>
      <c r="W17" s="76" t="inlineStr"/>
      <c r="X17" s="59" t="inlineStr"/>
      <c r="Y17" s="75" t="inlineStr">
        <is>
          <t>Finalizat</t>
        </is>
      </c>
      <c r="Z17" s="76" t="inlineStr"/>
      <c r="AA17" s="76" t="inlineStr"/>
      <c r="AB17" s="59" t="inlineStr">
        <is>
          <t>OK</t>
        </is>
      </c>
      <c r="AC17" s="136" t="n"/>
    </row>
    <row r="18" ht="18" customHeight="1">
      <c r="A18" s="67" t="inlineStr">
        <is>
          <t>WP1000-08</t>
        </is>
      </c>
      <c r="B18" s="68" t="n">
        <v>15</v>
      </c>
      <c r="C18" s="69" t="inlineStr">
        <is>
          <t>Snec reactor inferior</t>
        </is>
      </c>
      <c r="D18" s="70" t="inlineStr">
        <is>
          <t>🟢</t>
        </is>
      </c>
      <c r="E18" s="155">
        <f>IF(G18="DA","⛔ BLOCAT",IF(H18="DA","⚠ INTARZIAT",IF(COUNTIF(I18,"În coadă")+COUNTIF(M18,"În coadă")+COUNTIF(Q18,"În coadă")+COUNTIF(U18,"În coadă")+COUNTIF(Y18,"În coadă")&gt;0,"🔵 ÎN COADĂ",IF(F18=1,"✅ FINALIZAT",IF(F18&gt;0,"🔄 IN LUCRU","○ NEINCEPUT")))))</f>
        <v/>
      </c>
      <c r="F18" s="72">
        <f>IFERROR((COUNTIF(I18,"Finalizat")+COUNTIF(M18,"Finalizat")+COUNTIF(Q18,"Finalizat")+COUNTIF(U18,"Finalizat")+COUNTIF(Y18,"Finalizat"))/(5-COUNTIF(I18,"N/A")-COUNTIF(M18,"N/A")-COUNTIF(Q18,"N/A")-COUNTIF(U18,"N/A")-COUNTIF(Y18,"N/A")),0)</f>
        <v/>
      </c>
      <c r="G18" s="73">
        <f>IF(COUNTIF(I18,"Blocat")+COUNTIF(M18,"Blocat")+COUNTIF(Q18,"Blocat")+COUNTIF(U18,"Blocat")+COUNTIF(Y18,"Blocat")&gt;0,"DA","")</f>
        <v/>
      </c>
      <c r="H18" s="74">
        <f>IF(COUNTIF(I18,"Întârziat")+COUNTIF(M18,"Întârziat")+COUNTIF(Q18,"Întârziat")+COUNTIF(U18,"Întârziat")+COUNTIF(Y18,"Întârziat")&gt;0,"DA","")</f>
        <v/>
      </c>
      <c r="I18" s="75" t="inlineStr">
        <is>
          <t>Finalizat</t>
        </is>
      </c>
      <c r="J18" s="76" t="inlineStr"/>
      <c r="K18" s="76" t="inlineStr"/>
      <c r="L18" s="59" t="inlineStr"/>
      <c r="M18" s="77" t="inlineStr">
        <is>
          <t>N/A</t>
        </is>
      </c>
      <c r="N18" s="76" t="inlineStr"/>
      <c r="O18" s="76" t="inlineStr"/>
      <c r="P18" s="59" t="inlineStr"/>
      <c r="Q18" s="75" t="inlineStr">
        <is>
          <t>Finalizat</t>
        </is>
      </c>
      <c r="R18" s="76" t="inlineStr"/>
      <c r="S18" s="76" t="inlineStr"/>
      <c r="T18" s="59" t="inlineStr"/>
      <c r="U18" s="75" t="inlineStr">
        <is>
          <t>Finalizat</t>
        </is>
      </c>
      <c r="V18" s="76" t="inlineStr"/>
      <c r="W18" s="76" t="inlineStr"/>
      <c r="X18" s="59" t="inlineStr"/>
      <c r="Y18" s="75" t="inlineStr">
        <is>
          <t>Finalizat</t>
        </is>
      </c>
      <c r="Z18" s="76" t="inlineStr"/>
      <c r="AA18" s="76" t="inlineStr"/>
      <c r="AB18" s="59" t="inlineStr">
        <is>
          <t>OK</t>
        </is>
      </c>
      <c r="AC18" s="136" t="n"/>
    </row>
    <row r="19" ht="18" customHeight="1">
      <c r="A19" s="67" t="inlineStr">
        <is>
          <t>WP1000-08</t>
        </is>
      </c>
      <c r="B19" s="68" t="n">
        <v>16</v>
      </c>
      <c r="C19" s="69" t="inlineStr">
        <is>
          <t>Snec compactor intrare</t>
        </is>
      </c>
      <c r="D19" s="70" t="inlineStr">
        <is>
          <t>🟢</t>
        </is>
      </c>
      <c r="E19" s="155">
        <f>IF(G19="DA","⛔ BLOCAT",IF(H19="DA","⚠ INTARZIAT",IF(COUNTIF(I19,"În coadă")+COUNTIF(M19,"În coadă")+COUNTIF(Q19,"În coadă")+COUNTIF(U19,"În coadă")+COUNTIF(Y19,"În coadă")&gt;0,"🔵 ÎN COADĂ",IF(F19=1,"✅ FINALIZAT",IF(F19&gt;0,"🔄 IN LUCRU","○ NEINCEPUT")))))</f>
        <v/>
      </c>
      <c r="F19" s="72">
        <f>IFERROR((COUNTIF(I19,"Finalizat")+COUNTIF(M19,"Finalizat")+COUNTIF(Q19,"Finalizat")+COUNTIF(U19,"Finalizat")+COUNTIF(Y19,"Finalizat"))/(5-COUNTIF(I19,"N/A")-COUNTIF(M19,"N/A")-COUNTIF(Q19,"N/A")-COUNTIF(U19,"N/A")-COUNTIF(Y19,"N/A")),0)</f>
        <v/>
      </c>
      <c r="G19" s="73">
        <f>IF(COUNTIF(I19,"Blocat")+COUNTIF(M19,"Blocat")+COUNTIF(Q19,"Blocat")+COUNTIF(U19,"Blocat")+COUNTIF(Y19,"Blocat")&gt;0,"DA","")</f>
        <v/>
      </c>
      <c r="H19" s="74">
        <f>IF(COUNTIF(I19,"Întârziat")+COUNTIF(M19,"Întârziat")+COUNTIF(Q19,"Întârziat")+COUNTIF(U19,"Întârziat")+COUNTIF(Y19,"Întârziat")&gt;0,"DA","")</f>
        <v/>
      </c>
      <c r="I19" s="75" t="inlineStr">
        <is>
          <t>Finalizat</t>
        </is>
      </c>
      <c r="J19" s="76" t="inlineStr"/>
      <c r="K19" s="76" t="inlineStr"/>
      <c r="L19" s="59" t="inlineStr"/>
      <c r="M19" s="77" t="inlineStr">
        <is>
          <t>N/A</t>
        </is>
      </c>
      <c r="N19" s="76" t="inlineStr"/>
      <c r="O19" s="76" t="inlineStr"/>
      <c r="P19" s="59" t="inlineStr"/>
      <c r="Q19" s="75" t="inlineStr">
        <is>
          <t>Finalizat</t>
        </is>
      </c>
      <c r="R19" s="76" t="inlineStr"/>
      <c r="S19" s="76" t="inlineStr"/>
      <c r="T19" s="59" t="inlineStr"/>
      <c r="U19" s="75" t="inlineStr">
        <is>
          <t>Finalizat</t>
        </is>
      </c>
      <c r="V19" s="76" t="inlineStr"/>
      <c r="W19" s="76" t="inlineStr"/>
      <c r="X19" s="59" t="inlineStr"/>
      <c r="Y19" s="75" t="inlineStr">
        <is>
          <t>Finalizat</t>
        </is>
      </c>
      <c r="Z19" s="76" t="inlineStr"/>
      <c r="AA19" s="76" t="inlineStr"/>
      <c r="AB19" s="59" t="inlineStr">
        <is>
          <t>OK</t>
        </is>
      </c>
      <c r="AC19" s="136" t="n"/>
    </row>
    <row r="20" ht="18" customHeight="1">
      <c r="A20" s="67" t="inlineStr">
        <is>
          <t>WP1000-08</t>
        </is>
      </c>
      <c r="B20" s="68" t="n">
        <v>17</v>
      </c>
      <c r="C20" s="69" t="inlineStr">
        <is>
          <t>Snec compactor iesire</t>
        </is>
      </c>
      <c r="D20" s="70" t="inlineStr">
        <is>
          <t>🟢</t>
        </is>
      </c>
      <c r="E20" s="155">
        <f>IF(G20="DA","⛔ BLOCAT",IF(H20="DA","⚠ INTARZIAT",IF(COUNTIF(I20,"În coadă")+COUNTIF(M20,"În coadă")+COUNTIF(Q20,"În coadă")+COUNTIF(U20,"În coadă")+COUNTIF(Y20,"În coadă")&gt;0,"🔵 ÎN COADĂ",IF(F20=1,"✅ FINALIZAT",IF(F20&gt;0,"🔄 IN LUCRU","○ NEINCEPUT")))))</f>
        <v/>
      </c>
      <c r="F20" s="72">
        <f>IFERROR((COUNTIF(I20,"Finalizat")+COUNTIF(M20,"Finalizat")+COUNTIF(Q20,"Finalizat")+COUNTIF(U20,"Finalizat")+COUNTIF(Y20,"Finalizat"))/(5-COUNTIF(I20,"N/A")-COUNTIF(M20,"N/A")-COUNTIF(Q20,"N/A")-COUNTIF(U20,"N/A")-COUNTIF(Y20,"N/A")),0)</f>
        <v/>
      </c>
      <c r="G20" s="73">
        <f>IF(COUNTIF(I20,"Blocat")+COUNTIF(M20,"Blocat")+COUNTIF(Q20,"Blocat")+COUNTIF(U20,"Blocat")+COUNTIF(Y20,"Blocat")&gt;0,"DA","")</f>
        <v/>
      </c>
      <c r="H20" s="74">
        <f>IF(COUNTIF(I20,"Întârziat")+COUNTIF(M20,"Întârziat")+COUNTIF(Q20,"Întârziat")+COUNTIF(U20,"Întârziat")+COUNTIF(Y20,"Întârziat")&gt;0,"DA","")</f>
        <v/>
      </c>
      <c r="I20" s="75" t="inlineStr">
        <is>
          <t>Finalizat</t>
        </is>
      </c>
      <c r="J20" s="76" t="inlineStr"/>
      <c r="K20" s="76" t="inlineStr"/>
      <c r="L20" s="59" t="inlineStr"/>
      <c r="M20" s="77" t="inlineStr">
        <is>
          <t>N/A</t>
        </is>
      </c>
      <c r="N20" s="76" t="inlineStr"/>
      <c r="O20" s="76" t="inlineStr"/>
      <c r="P20" s="59" t="inlineStr"/>
      <c r="Q20" s="75" t="inlineStr">
        <is>
          <t>Finalizat</t>
        </is>
      </c>
      <c r="R20" s="76" t="inlineStr"/>
      <c r="S20" s="76" t="inlineStr"/>
      <c r="T20" s="59" t="inlineStr"/>
      <c r="U20" s="75" t="inlineStr">
        <is>
          <t>Finalizat</t>
        </is>
      </c>
      <c r="V20" s="76" t="inlineStr"/>
      <c r="W20" s="76" t="inlineStr"/>
      <c r="X20" s="59" t="inlineStr"/>
      <c r="Y20" s="75" t="inlineStr">
        <is>
          <t>Finalizat</t>
        </is>
      </c>
      <c r="Z20" s="76" t="inlineStr"/>
      <c r="AA20" s="76" t="inlineStr"/>
      <c r="AB20" s="59" t="inlineStr">
        <is>
          <t>OK</t>
        </is>
      </c>
      <c r="AC20" s="136" t="n"/>
    </row>
    <row r="21" ht="18" customHeight="1">
      <c r="A21" s="67" t="inlineStr">
        <is>
          <t>WP1000-08</t>
        </is>
      </c>
      <c r="B21" s="68" t="n">
        <v>18</v>
      </c>
      <c r="C21" s="69" t="inlineStr">
        <is>
          <t>Presetupe</t>
        </is>
      </c>
      <c r="D21" s="70" t="inlineStr">
        <is>
          <t>🟢</t>
        </is>
      </c>
      <c r="E21" s="155">
        <f>IF(G21="DA","⛔ BLOCAT",IF(H21="DA","⚠ INTARZIAT",IF(COUNTIF(I21,"În coadă")+COUNTIF(M21,"În coadă")+COUNTIF(Q21,"În coadă")+COUNTIF(U21,"În coadă")+COUNTIF(Y21,"În coadă")&gt;0,"🔵 ÎN COADĂ",IF(F21=1,"✅ FINALIZAT",IF(F21&gt;0,"🔄 IN LUCRU","○ NEINCEPUT")))))</f>
        <v/>
      </c>
      <c r="F21" s="72">
        <f>IFERROR((COUNTIF(I21,"Finalizat")+COUNTIF(M21,"Finalizat")+COUNTIF(Q21,"Finalizat")+COUNTIF(U21,"Finalizat")+COUNTIF(Y21,"Finalizat"))/(5-COUNTIF(I21,"N/A")-COUNTIF(M21,"N/A")-COUNTIF(Q21,"N/A")-COUNTIF(U21,"N/A")-COUNTIF(Y21,"N/A")),0)</f>
        <v/>
      </c>
      <c r="G21" s="73">
        <f>IF(COUNTIF(I21,"Blocat")+COUNTIF(M21,"Blocat")+COUNTIF(Q21,"Blocat")+COUNTIF(U21,"Blocat")+COUNTIF(Y21,"Blocat")&gt;0,"DA","")</f>
        <v/>
      </c>
      <c r="H21" s="74">
        <f>IF(COUNTIF(I21,"Întârziat")+COUNTIF(M21,"Întârziat")+COUNTIF(Q21,"Întârziat")+COUNTIF(U21,"Întârziat")+COUNTIF(Y21,"Întârziat")&gt;0,"DA","")</f>
        <v/>
      </c>
      <c r="I21" s="75" t="inlineStr">
        <is>
          <t>Finalizat</t>
        </is>
      </c>
      <c r="J21" s="76" t="inlineStr"/>
      <c r="K21" s="76" t="inlineStr"/>
      <c r="L21" s="59" t="inlineStr"/>
      <c r="M21" s="77" t="inlineStr">
        <is>
          <t>N/A</t>
        </is>
      </c>
      <c r="N21" s="76" t="inlineStr"/>
      <c r="O21" s="76" t="inlineStr"/>
      <c r="P21" s="59" t="inlineStr"/>
      <c r="Q21" s="75" t="inlineStr">
        <is>
          <t>Finalizat</t>
        </is>
      </c>
      <c r="R21" s="76" t="inlineStr"/>
      <c r="S21" s="76" t="inlineStr"/>
      <c r="T21" s="59" t="inlineStr"/>
      <c r="U21" s="75" t="inlineStr">
        <is>
          <t>Finalizat</t>
        </is>
      </c>
      <c r="V21" s="76" t="inlineStr"/>
      <c r="W21" s="76" t="inlineStr"/>
      <c r="X21" s="59" t="inlineStr"/>
      <c r="Y21" s="75" t="inlineStr">
        <is>
          <t>Finalizat</t>
        </is>
      </c>
      <c r="Z21" s="76" t="inlineStr"/>
      <c r="AA21" s="76" t="inlineStr"/>
      <c r="AB21" s="59" t="inlineStr">
        <is>
          <t>OK</t>
        </is>
      </c>
      <c r="AC21" s="136" t="n"/>
    </row>
    <row r="22" ht="18" customHeight="1">
      <c r="A22" s="67" t="inlineStr">
        <is>
          <t>WP1000-08</t>
        </is>
      </c>
      <c r="B22" s="68" t="n">
        <v>19</v>
      </c>
      <c r="C22" s="69" t="inlineStr">
        <is>
          <t>Turn de racire</t>
        </is>
      </c>
      <c r="D22" s="70" t="inlineStr">
        <is>
          <t>🟢</t>
        </is>
      </c>
      <c r="E22" s="155">
        <f>IF(G22="DA","⛔ BLOCAT",IF(H22="DA","⚠ INTARZIAT",IF(COUNTIF(I22,"În coadă")+COUNTIF(M22,"În coadă")+COUNTIF(Q22,"În coadă")+COUNTIF(U22,"În coadă")+COUNTIF(Y22,"În coadă")&gt;0,"🔵 ÎN COADĂ",IF(F22=1,"✅ FINALIZAT",IF(F22&gt;0,"🔄 IN LUCRU","○ NEINCEPUT")))))</f>
        <v/>
      </c>
      <c r="F22" s="72">
        <f>IFERROR((COUNTIF(I22,"Finalizat")+COUNTIF(M22,"Finalizat")+COUNTIF(Q22,"Finalizat")+COUNTIF(U22,"Finalizat")+COUNTIF(Y22,"Finalizat"))/(5-COUNTIF(I22,"N/A")-COUNTIF(M22,"N/A")-COUNTIF(Q22,"N/A")-COUNTIF(U22,"N/A")-COUNTIF(Y22,"N/A")),0)</f>
        <v/>
      </c>
      <c r="G22" s="73">
        <f>IF(COUNTIF(I22,"Blocat")+COUNTIF(M22,"Blocat")+COUNTIF(Q22,"Blocat")+COUNTIF(U22,"Blocat")+COUNTIF(Y22,"Blocat")&gt;0,"DA","")</f>
        <v/>
      </c>
      <c r="H22" s="74">
        <f>IF(COUNTIF(I22,"Întârziat")+COUNTIF(M22,"Întârziat")+COUNTIF(Q22,"Întârziat")+COUNTIF(U22,"Întârziat")+COUNTIF(Y22,"Întârziat")&gt;0,"DA","")</f>
        <v/>
      </c>
      <c r="I22" s="75" t="inlineStr">
        <is>
          <t>Finalizat</t>
        </is>
      </c>
      <c r="J22" s="76" t="inlineStr"/>
      <c r="K22" s="76" t="inlineStr"/>
      <c r="L22" s="59" t="inlineStr"/>
      <c r="M22" s="75" t="inlineStr">
        <is>
          <t>Finalizat</t>
        </is>
      </c>
      <c r="N22" s="76" t="inlineStr"/>
      <c r="O22" s="76" t="inlineStr"/>
      <c r="P22" s="59" t="inlineStr"/>
      <c r="Q22" s="75" t="inlineStr">
        <is>
          <t>Finalizat</t>
        </is>
      </c>
      <c r="R22" s="76" t="inlineStr"/>
      <c r="S22" s="76" t="inlineStr"/>
      <c r="T22" s="59" t="inlineStr"/>
      <c r="U22" s="75" t="inlineStr">
        <is>
          <t>Finalizat</t>
        </is>
      </c>
      <c r="V22" s="76" t="inlineStr"/>
      <c r="W22" s="76" t="inlineStr"/>
      <c r="X22" s="59" t="inlineStr"/>
      <c r="Y22" s="75" t="inlineStr">
        <is>
          <t>Finalizat</t>
        </is>
      </c>
      <c r="Z22" s="76" t="inlineStr"/>
      <c r="AA22" s="76" t="inlineStr"/>
      <c r="AB22" s="59" t="inlineStr">
        <is>
          <t>OK</t>
        </is>
      </c>
      <c r="AC22" s="136" t="n"/>
    </row>
    <row r="23" ht="18" customHeight="1">
      <c r="A23" s="78" t="inlineStr">
        <is>
          <t>WP1000-09</t>
        </is>
      </c>
      <c r="B23" s="79" t="n">
        <v>1</v>
      </c>
      <c r="C23" s="80" t="inlineStr">
        <is>
          <t>Structura metalica</t>
        </is>
      </c>
      <c r="D23" s="81" t="inlineStr">
        <is>
          <t>🟡</t>
        </is>
      </c>
      <c r="E23" s="155">
        <f>IF(G23="DA","⛔ BLOCAT",IF(H23="DA","⚠ INTARZIAT",IF(COUNTIF(I23,"În coadă")+COUNTIF(M23,"În coadă")+COUNTIF(Q23,"În coadă")+COUNTIF(U23,"În coadă")+COUNTIF(Y23,"În coadă")&gt;0,"🔵 ÎN COADĂ",IF(F23=1,"✅ FINALIZAT",IF(F23&gt;0,"🔄 IN LUCRU","○ NEINCEPUT")))))</f>
        <v/>
      </c>
      <c r="F23" s="72">
        <f>IFERROR((COUNTIF(I23,"Finalizat")+COUNTIF(M23,"Finalizat")+COUNTIF(Q23,"Finalizat")+COUNTIF(U23,"Finalizat")+COUNTIF(Y23,"Finalizat"))/(5-COUNTIF(I23,"N/A")-COUNTIF(M23,"N/A")-COUNTIF(Q23,"N/A")-COUNTIF(U23,"N/A")-COUNTIF(Y23,"N/A")),0)</f>
        <v/>
      </c>
      <c r="G23" s="73">
        <f>IF(COUNTIF(I23,"Blocat")+COUNTIF(M23,"Blocat")+COUNTIF(Q23,"Blocat")+COUNTIF(U23,"Blocat")+COUNTIF(Y23,"Blocat")&gt;0,"DA","")</f>
        <v/>
      </c>
      <c r="H23" s="74">
        <f>IF(COUNTIF(I23,"Întârziat")+COUNTIF(M23,"Întârziat")+COUNTIF(Q23,"Întârziat")+COUNTIF(U23,"Întârziat")+COUNTIF(Y23,"Întârziat")&gt;0,"DA","")</f>
        <v/>
      </c>
      <c r="I23" s="75" t="inlineStr">
        <is>
          <t>Finalizat</t>
        </is>
      </c>
      <c r="J23" s="76" t="inlineStr"/>
      <c r="K23" s="76" t="inlineStr"/>
      <c r="L23" s="59" t="inlineStr"/>
      <c r="M23" s="77" t="inlineStr">
        <is>
          <t>N/A</t>
        </is>
      </c>
      <c r="N23" s="76" t="inlineStr"/>
      <c r="O23" s="76" t="inlineStr"/>
      <c r="P23" s="59" t="inlineStr"/>
      <c r="Q23" s="75" t="inlineStr">
        <is>
          <t>Finalizat</t>
        </is>
      </c>
      <c r="R23" s="76" t="inlineStr"/>
      <c r="S23" s="76" t="inlineStr"/>
      <c r="T23" s="59" t="inlineStr"/>
      <c r="U23" s="75" t="inlineStr">
        <is>
          <t>Finalizat</t>
        </is>
      </c>
      <c r="V23" s="76" t="inlineStr"/>
      <c r="W23" s="76" t="inlineStr"/>
      <c r="X23" s="59" t="inlineStr"/>
      <c r="Y23" s="75" t="inlineStr">
        <is>
          <t>Finalizat</t>
        </is>
      </c>
      <c r="Z23" s="76" t="inlineStr"/>
      <c r="AA23" s="76" t="inlineStr"/>
      <c r="AB23" s="59" t="inlineStr">
        <is>
          <t>OK</t>
        </is>
      </c>
      <c r="AC23" s="136" t="n"/>
    </row>
    <row r="24" ht="18" customHeight="1">
      <c r="A24" s="78" t="inlineStr">
        <is>
          <t>WP1000-09</t>
        </is>
      </c>
      <c r="B24" s="79" t="n">
        <v>2</v>
      </c>
      <c r="C24" s="80" t="inlineStr">
        <is>
          <t>Scara metalica</t>
        </is>
      </c>
      <c r="D24" s="81" t="inlineStr">
        <is>
          <t>🟡</t>
        </is>
      </c>
      <c r="E24" s="155">
        <f>IF(G24="DA","⛔ BLOCAT",IF(H24="DA","⚠ INTARZIAT",IF(COUNTIF(I24,"În coadă")+COUNTIF(M24,"În coadă")+COUNTIF(Q24,"În coadă")+COUNTIF(U24,"În coadă")+COUNTIF(Y24,"În coadă")&gt;0,"🔵 ÎN COADĂ",IF(F24=1,"✅ FINALIZAT",IF(F24&gt;0,"🔄 IN LUCRU","○ NEINCEPUT")))))</f>
        <v/>
      </c>
      <c r="F24" s="72">
        <f>IFERROR((COUNTIF(I24,"Finalizat")+COUNTIF(M24,"Finalizat")+COUNTIF(Q24,"Finalizat")+COUNTIF(U24,"Finalizat")+COUNTIF(Y24,"Finalizat"))/(5-COUNTIF(I24,"N/A")-COUNTIF(M24,"N/A")-COUNTIF(Q24,"N/A")-COUNTIF(U24,"N/A")-COUNTIF(Y24,"N/A")),0)</f>
        <v/>
      </c>
      <c r="G24" s="73">
        <f>IF(COUNTIF(I24,"Blocat")+COUNTIF(M24,"Blocat")+COUNTIF(Q24,"Blocat")+COUNTIF(U24,"Blocat")+COUNTIF(Y24,"Blocat")&gt;0,"DA","")</f>
        <v/>
      </c>
      <c r="H24" s="74">
        <f>IF(COUNTIF(I24,"Întârziat")+COUNTIF(M24,"Întârziat")+COUNTIF(Q24,"Întârziat")+COUNTIF(U24,"Întârziat")+COUNTIF(Y24,"Întârziat")&gt;0,"DA","")</f>
        <v/>
      </c>
      <c r="I24" s="75" t="inlineStr">
        <is>
          <t>Finalizat</t>
        </is>
      </c>
      <c r="J24" s="76" t="inlineStr"/>
      <c r="K24" s="76" t="inlineStr"/>
      <c r="L24" s="59" t="inlineStr"/>
      <c r="M24" s="77" t="inlineStr">
        <is>
          <t>N/A</t>
        </is>
      </c>
      <c r="N24" s="76" t="inlineStr"/>
      <c r="O24" s="76" t="inlineStr"/>
      <c r="P24" s="59" t="inlineStr"/>
      <c r="Q24" s="75" t="inlineStr">
        <is>
          <t>Finalizat</t>
        </is>
      </c>
      <c r="R24" s="76" t="inlineStr"/>
      <c r="S24" s="76" t="inlineStr"/>
      <c r="T24" s="59" t="inlineStr"/>
      <c r="U24" s="75" t="inlineStr">
        <is>
          <t>Finalizat</t>
        </is>
      </c>
      <c r="V24" s="76" t="inlineStr"/>
      <c r="W24" s="76" t="inlineStr"/>
      <c r="X24" s="59" t="inlineStr"/>
      <c r="Y24" s="75" t="inlineStr">
        <is>
          <t>Finalizat</t>
        </is>
      </c>
      <c r="Z24" s="76" t="inlineStr"/>
      <c r="AA24" s="76" t="inlineStr"/>
      <c r="AB24" s="59" t="inlineStr">
        <is>
          <t>OK</t>
        </is>
      </c>
      <c r="AC24" s="136" t="n"/>
    </row>
    <row r="25" ht="18" customHeight="1">
      <c r="A25" s="78" t="inlineStr">
        <is>
          <t>WP1000-09</t>
        </is>
      </c>
      <c r="B25" s="79" t="n">
        <v>3</v>
      </c>
      <c r="C25" s="80" t="inlineStr">
        <is>
          <t>Compactor iesire</t>
        </is>
      </c>
      <c r="D25" s="81" t="inlineStr">
        <is>
          <t>🟡</t>
        </is>
      </c>
      <c r="E25" s="155">
        <f>IF(G25="DA","⛔ BLOCAT",IF(H25="DA","⚠ INTARZIAT",IF(COUNTIF(I25,"În coadă")+COUNTIF(M25,"În coadă")+COUNTIF(Q25,"În coadă")+COUNTIF(U25,"În coadă")+COUNTIF(Y25,"În coadă")&gt;0,"🔵 ÎN COADĂ",IF(F25=1,"✅ FINALIZAT",IF(F25&gt;0,"🔄 IN LUCRU","○ NEINCEPUT")))))</f>
        <v/>
      </c>
      <c r="F25" s="72">
        <f>IFERROR((COUNTIF(I25,"Finalizat")+COUNTIF(M25,"Finalizat")+COUNTIF(Q25,"Finalizat")+COUNTIF(U25,"Finalizat")+COUNTIF(Y25,"Finalizat"))/(5-COUNTIF(I25,"N/A")-COUNTIF(M25,"N/A")-COUNTIF(Q25,"N/A")-COUNTIF(U25,"N/A")-COUNTIF(Y25,"N/A")),0)</f>
        <v/>
      </c>
      <c r="G25" s="73">
        <f>IF(COUNTIF(I25,"Blocat")+COUNTIF(M25,"Blocat")+COUNTIF(Q25,"Blocat")+COUNTIF(U25,"Blocat")+COUNTIF(Y25,"Blocat")&gt;0,"DA","")</f>
        <v/>
      </c>
      <c r="H25" s="74">
        <f>IF(COUNTIF(I25,"Întârziat")+COUNTIF(M25,"Întârziat")+COUNTIF(Q25,"Întârziat")+COUNTIF(U25,"Întârziat")+COUNTIF(Y25,"Întârziat")&gt;0,"DA","")</f>
        <v/>
      </c>
      <c r="I25" s="75" t="inlineStr">
        <is>
          <t>Finalizat</t>
        </is>
      </c>
      <c r="J25" s="76" t="inlineStr"/>
      <c r="K25" s="76" t="inlineStr"/>
      <c r="L25" s="59" t="inlineStr"/>
      <c r="M25" s="75" t="inlineStr">
        <is>
          <t>Finalizat</t>
        </is>
      </c>
      <c r="N25" s="76" t="inlineStr"/>
      <c r="O25" s="76" t="inlineStr"/>
      <c r="P25" s="59" t="inlineStr"/>
      <c r="Q25" s="75" t="inlineStr">
        <is>
          <t>Finalizat</t>
        </is>
      </c>
      <c r="R25" s="76" t="inlineStr"/>
      <c r="S25" s="76" t="inlineStr"/>
      <c r="T25" s="59" t="inlineStr"/>
      <c r="U25" s="75" t="inlineStr">
        <is>
          <t>Finalizat</t>
        </is>
      </c>
      <c r="V25" s="76" t="inlineStr"/>
      <c r="W25" s="76" t="inlineStr"/>
      <c r="X25" s="59" t="inlineStr"/>
      <c r="Y25" s="75" t="inlineStr">
        <is>
          <t>Finalizat</t>
        </is>
      </c>
      <c r="Z25" s="76" t="inlineStr"/>
      <c r="AA25" s="76" t="inlineStr"/>
      <c r="AB25" s="59" t="inlineStr">
        <is>
          <t>OK</t>
        </is>
      </c>
      <c r="AC25" s="136" t="n"/>
    </row>
    <row r="26" ht="18" customHeight="1">
      <c r="A26" s="78" t="inlineStr">
        <is>
          <t>WP1000-09</t>
        </is>
      </c>
      <c r="B26" s="79" t="n">
        <v>4</v>
      </c>
      <c r="C26" s="80" t="inlineStr">
        <is>
          <t>Compactor intrare</t>
        </is>
      </c>
      <c r="D26" s="81" t="inlineStr">
        <is>
          <t>🟡</t>
        </is>
      </c>
      <c r="E26" s="155">
        <f>IF(G26="DA","⛔ BLOCAT",IF(H26="DA","⚠ INTARZIAT",IF(COUNTIF(I26,"În coadă")+COUNTIF(M26,"În coadă")+COUNTIF(Q26,"În coadă")+COUNTIF(U26,"În coadă")+COUNTIF(Y26,"În coadă")&gt;0,"🔵 ÎN COADĂ",IF(F26=1,"✅ FINALIZAT",IF(F26&gt;0,"🔄 IN LUCRU","○ NEINCEPUT")))))</f>
        <v/>
      </c>
      <c r="F26" s="72">
        <f>IFERROR((COUNTIF(I26,"Finalizat")+COUNTIF(M26,"Finalizat")+COUNTIF(Q26,"Finalizat")+COUNTIF(U26,"Finalizat")+COUNTIF(Y26,"Finalizat"))/(5-COUNTIF(I26,"N/A")-COUNTIF(M26,"N/A")-COUNTIF(Q26,"N/A")-COUNTIF(U26,"N/A")-COUNTIF(Y26,"N/A")),0)</f>
        <v/>
      </c>
      <c r="G26" s="73">
        <f>IF(COUNTIF(I26,"Blocat")+COUNTIF(M26,"Blocat")+COUNTIF(Q26,"Blocat")+COUNTIF(U26,"Blocat")+COUNTIF(Y26,"Blocat")&gt;0,"DA","")</f>
        <v/>
      </c>
      <c r="H26" s="74">
        <f>IF(COUNTIF(I26,"Întârziat")+COUNTIF(M26,"Întârziat")+COUNTIF(Q26,"Întârziat")+COUNTIF(U26,"Întârziat")+COUNTIF(Y26,"Întârziat")&gt;0,"DA","")</f>
        <v/>
      </c>
      <c r="I26" s="75" t="inlineStr">
        <is>
          <t>Finalizat</t>
        </is>
      </c>
      <c r="J26" s="76" t="inlineStr"/>
      <c r="K26" s="76" t="inlineStr"/>
      <c r="L26" s="59" t="inlineStr"/>
      <c r="M26" s="75" t="inlineStr">
        <is>
          <t>Finalizat</t>
        </is>
      </c>
      <c r="N26" s="76" t="inlineStr"/>
      <c r="O26" s="76" t="inlineStr"/>
      <c r="P26" s="59" t="inlineStr"/>
      <c r="Q26" s="75" t="inlineStr">
        <is>
          <t>Finalizat</t>
        </is>
      </c>
      <c r="R26" s="76" t="inlineStr"/>
      <c r="S26" s="76" t="inlineStr"/>
      <c r="T26" s="59" t="inlineStr"/>
      <c r="U26" s="75" t="inlineStr">
        <is>
          <t>Finalizat</t>
        </is>
      </c>
      <c r="V26" s="76" t="inlineStr"/>
      <c r="W26" s="76" t="inlineStr"/>
      <c r="X26" s="59" t="inlineStr"/>
      <c r="Y26" s="75" t="inlineStr">
        <is>
          <t>Finalizat</t>
        </is>
      </c>
      <c r="Z26" s="76" t="inlineStr"/>
      <c r="AA26" s="76" t="inlineStr"/>
      <c r="AB26" s="59" t="inlineStr">
        <is>
          <t>OK</t>
        </is>
      </c>
      <c r="AC26" s="136" t="n"/>
    </row>
    <row r="27" ht="18" customHeight="1">
      <c r="A27" s="78" t="inlineStr">
        <is>
          <t>WP1000-09</t>
        </is>
      </c>
      <c r="B27" s="79" t="n">
        <v>5</v>
      </c>
      <c r="C27" s="80" t="inlineStr">
        <is>
          <t>Reactor superior</t>
        </is>
      </c>
      <c r="D27" s="81" t="inlineStr">
        <is>
          <t>🟡</t>
        </is>
      </c>
      <c r="E27" s="155">
        <f>IF(G27="DA","⛔ BLOCAT",IF(H27="DA","⚠ INTARZIAT",IF(COUNTIF(I27,"În coadă")+COUNTIF(M27,"În coadă")+COUNTIF(Q27,"În coadă")+COUNTIF(U27,"În coadă")+COUNTIF(Y27,"În coadă")&gt;0,"🔵 ÎN COADĂ",IF(F27=1,"✅ FINALIZAT",IF(F27&gt;0,"🔄 IN LUCRU","○ NEINCEPUT")))))</f>
        <v/>
      </c>
      <c r="F27" s="72">
        <f>IFERROR((COUNTIF(I27,"Finalizat")+COUNTIF(M27,"Finalizat")+COUNTIF(Q27,"Finalizat")+COUNTIF(U27,"Finalizat")+COUNTIF(Y27,"Finalizat"))/(5-COUNTIF(I27,"N/A")-COUNTIF(M27,"N/A")-COUNTIF(Q27,"N/A")-COUNTIF(U27,"N/A")-COUNTIF(Y27,"N/A")),0)</f>
        <v/>
      </c>
      <c r="G27" s="73">
        <f>IF(COUNTIF(I27,"Blocat")+COUNTIF(M27,"Blocat")+COUNTIF(Q27,"Blocat")+COUNTIF(U27,"Blocat")+COUNTIF(Y27,"Blocat")&gt;0,"DA","")</f>
        <v/>
      </c>
      <c r="H27" s="74">
        <f>IF(COUNTIF(I27,"Întârziat")+COUNTIF(M27,"Întârziat")+COUNTIF(Q27,"Întârziat")+COUNTIF(U27,"Întârziat")+COUNTIF(Y27,"Întârziat")&gt;0,"DA","")</f>
        <v/>
      </c>
      <c r="I27" s="75" t="inlineStr">
        <is>
          <t>Finalizat</t>
        </is>
      </c>
      <c r="J27" s="76" t="inlineStr"/>
      <c r="K27" s="76" t="inlineStr"/>
      <c r="L27" s="59" t="inlineStr"/>
      <c r="M27" s="75" t="inlineStr">
        <is>
          <t>Finalizat</t>
        </is>
      </c>
      <c r="N27" s="76" t="inlineStr"/>
      <c r="O27" s="76" t="inlineStr"/>
      <c r="P27" s="59" t="inlineStr"/>
      <c r="Q27" s="75" t="inlineStr">
        <is>
          <t>Finalizat</t>
        </is>
      </c>
      <c r="R27" s="76" t="inlineStr"/>
      <c r="S27" s="76" t="inlineStr"/>
      <c r="T27" s="59" t="inlineStr"/>
      <c r="U27" s="75" t="inlineStr">
        <is>
          <t>Finalizat</t>
        </is>
      </c>
      <c r="V27" s="76" t="inlineStr"/>
      <c r="W27" s="76" t="inlineStr"/>
      <c r="X27" s="59" t="inlineStr"/>
      <c r="Y27" s="75" t="inlineStr">
        <is>
          <t>Finalizat</t>
        </is>
      </c>
      <c r="Z27" s="76" t="inlineStr"/>
      <c r="AA27" s="76" t="inlineStr"/>
      <c r="AB27" s="59" t="inlineStr">
        <is>
          <t>OK</t>
        </is>
      </c>
      <c r="AC27" s="136" t="n"/>
    </row>
    <row r="28" ht="18" customHeight="1">
      <c r="A28" s="78" t="inlineStr">
        <is>
          <t>WP1000-09</t>
        </is>
      </c>
      <c r="B28" s="79" t="n">
        <v>6</v>
      </c>
      <c r="C28" s="80" t="inlineStr">
        <is>
          <t>Reactor inferior</t>
        </is>
      </c>
      <c r="D28" s="81" t="inlineStr">
        <is>
          <t>🟡</t>
        </is>
      </c>
      <c r="E28" s="155">
        <f>IF(G28="DA","⛔ BLOCAT",IF(H28="DA","⚠ INTARZIAT",IF(COUNTIF(I28,"În coadă")+COUNTIF(M28,"În coadă")+COUNTIF(Q28,"În coadă")+COUNTIF(U28,"În coadă")+COUNTIF(Y28,"În coadă")&gt;0,"🔵 ÎN COADĂ",IF(F28=1,"✅ FINALIZAT",IF(F28&gt;0,"🔄 IN LUCRU","○ NEINCEPUT")))))</f>
        <v/>
      </c>
      <c r="F28" s="72">
        <f>IFERROR((COUNTIF(I28,"Finalizat")+COUNTIF(M28,"Finalizat")+COUNTIF(Q28,"Finalizat")+COUNTIF(U28,"Finalizat")+COUNTIF(Y28,"Finalizat"))/(5-COUNTIF(I28,"N/A")-COUNTIF(M28,"N/A")-COUNTIF(Q28,"N/A")-COUNTIF(U28,"N/A")-COUNTIF(Y28,"N/A")),0)</f>
        <v/>
      </c>
      <c r="G28" s="73">
        <f>IF(COUNTIF(I28,"Blocat")+COUNTIF(M28,"Blocat")+COUNTIF(Q28,"Blocat")+COUNTIF(U28,"Blocat")+COUNTIF(Y28,"Blocat")&gt;0,"DA","")</f>
        <v/>
      </c>
      <c r="H28" s="74">
        <f>IF(COUNTIF(I28,"Întârziat")+COUNTIF(M28,"Întârziat")+COUNTIF(Q28,"Întârziat")+COUNTIF(U28,"Întârziat")+COUNTIF(Y28,"Întârziat")&gt;0,"DA","")</f>
        <v/>
      </c>
      <c r="I28" s="75" t="inlineStr">
        <is>
          <t>Finalizat</t>
        </is>
      </c>
      <c r="J28" s="76" t="inlineStr"/>
      <c r="K28" s="76" t="inlineStr"/>
      <c r="L28" s="59" t="inlineStr"/>
      <c r="M28" s="75" t="inlineStr">
        <is>
          <t>Finalizat</t>
        </is>
      </c>
      <c r="N28" s="76" t="inlineStr"/>
      <c r="O28" s="76" t="inlineStr"/>
      <c r="P28" s="59" t="inlineStr"/>
      <c r="Q28" s="75" t="inlineStr">
        <is>
          <t>Finalizat</t>
        </is>
      </c>
      <c r="R28" s="76" t="inlineStr"/>
      <c r="S28" s="76" t="inlineStr"/>
      <c r="T28" s="59" t="inlineStr"/>
      <c r="U28" s="75" t="inlineStr">
        <is>
          <t>Finalizat</t>
        </is>
      </c>
      <c r="V28" s="76" t="inlineStr"/>
      <c r="W28" s="76" t="inlineStr"/>
      <c r="X28" s="59" t="inlineStr"/>
      <c r="Y28" s="75" t="inlineStr">
        <is>
          <t>Finalizat</t>
        </is>
      </c>
      <c r="Z28" s="76" t="inlineStr"/>
      <c r="AA28" s="76" t="inlineStr"/>
      <c r="AB28" s="59" t="inlineStr">
        <is>
          <t>OK</t>
        </is>
      </c>
      <c r="AC28" s="136" t="n"/>
    </row>
    <row r="29" ht="18" customHeight="1">
      <c r="A29" s="78" t="inlineStr">
        <is>
          <t>WP1000-09</t>
        </is>
      </c>
      <c r="B29" s="79" t="n">
        <v>7</v>
      </c>
      <c r="C29" s="80" t="inlineStr">
        <is>
          <t>Suport reactor inferior</t>
        </is>
      </c>
      <c r="D29" s="81" t="inlineStr">
        <is>
          <t>🟡</t>
        </is>
      </c>
      <c r="E29" s="155">
        <f>IF(G29="DA","⛔ BLOCAT",IF(H29="DA","⚠ INTARZIAT",IF(COUNTIF(I29,"În coadă")+COUNTIF(M29,"În coadă")+COUNTIF(Q29,"În coadă")+COUNTIF(U29,"În coadă")+COUNTIF(Y29,"În coadă")&gt;0,"🔵 ÎN COADĂ",IF(F29=1,"✅ FINALIZAT",IF(F29&gt;0,"🔄 IN LUCRU","○ NEINCEPUT")))))</f>
        <v/>
      </c>
      <c r="F29" s="72">
        <f>IFERROR((COUNTIF(I29,"Finalizat")+COUNTIF(M29,"Finalizat")+COUNTIF(Q29,"Finalizat")+COUNTIF(U29,"Finalizat")+COUNTIF(Y29,"Finalizat"))/(5-COUNTIF(I29,"N/A")-COUNTIF(M29,"N/A")-COUNTIF(Q29,"N/A")-COUNTIF(U29,"N/A")-COUNTIF(Y29,"N/A")),0)</f>
        <v/>
      </c>
      <c r="G29" s="73">
        <f>IF(COUNTIF(I29,"Blocat")+COUNTIF(M29,"Blocat")+COUNTIF(Q29,"Blocat")+COUNTIF(U29,"Blocat")+COUNTIF(Y29,"Blocat")&gt;0,"DA","")</f>
        <v/>
      </c>
      <c r="H29" s="74">
        <f>IF(COUNTIF(I29,"Întârziat")+COUNTIF(M29,"Întârziat")+COUNTIF(Q29,"Întârziat")+COUNTIF(U29,"Întârziat")+COUNTIF(Y29,"Întârziat")&gt;0,"DA","")</f>
        <v/>
      </c>
      <c r="I29" s="75" t="inlineStr">
        <is>
          <t>Finalizat</t>
        </is>
      </c>
      <c r="J29" s="76" t="inlineStr"/>
      <c r="K29" s="76" t="inlineStr"/>
      <c r="L29" s="59" t="inlineStr"/>
      <c r="M29" s="77" t="inlineStr">
        <is>
          <t>N/A</t>
        </is>
      </c>
      <c r="N29" s="76" t="inlineStr"/>
      <c r="O29" s="76" t="inlineStr"/>
      <c r="P29" s="59" t="inlineStr"/>
      <c r="Q29" s="75" t="inlineStr">
        <is>
          <t>Finalizat</t>
        </is>
      </c>
      <c r="R29" s="76" t="inlineStr"/>
      <c r="S29" s="76" t="inlineStr"/>
      <c r="T29" s="59" t="inlineStr"/>
      <c r="U29" s="75" t="inlineStr">
        <is>
          <t>Finalizat</t>
        </is>
      </c>
      <c r="V29" s="76" t="inlineStr"/>
      <c r="W29" s="76" t="inlineStr"/>
      <c r="X29" s="59" t="inlineStr"/>
      <c r="Y29" s="75" t="inlineStr">
        <is>
          <t>Finalizat</t>
        </is>
      </c>
      <c r="Z29" s="76" t="inlineStr"/>
      <c r="AA29" s="76" t="inlineStr"/>
      <c r="AB29" s="59" t="inlineStr">
        <is>
          <t>OK</t>
        </is>
      </c>
      <c r="AC29" s="136" t="n"/>
    </row>
    <row r="30" ht="18" customHeight="1">
      <c r="A30" s="78" t="inlineStr">
        <is>
          <t>WP1000-09</t>
        </is>
      </c>
      <c r="B30" s="79" t="n">
        <v>8</v>
      </c>
      <c r="C30" s="80" t="inlineStr">
        <is>
          <t>Filtru Gudroane</t>
        </is>
      </c>
      <c r="D30" s="81" t="inlineStr">
        <is>
          <t>🟡</t>
        </is>
      </c>
      <c r="E30" s="155">
        <f>IF(G30="DA","⛔ BLOCAT",IF(H30="DA","⚠ INTARZIAT",IF(COUNTIF(I30,"În coadă")+COUNTIF(M30,"În coadă")+COUNTIF(Q30,"În coadă")+COUNTIF(U30,"În coadă")+COUNTIF(Y30,"În coadă")&gt;0,"🔵 ÎN COADĂ",IF(F30=1,"✅ FINALIZAT",IF(F30&gt;0,"🔄 IN LUCRU","○ NEINCEPUT")))))</f>
        <v/>
      </c>
      <c r="F30" s="72">
        <f>IFERROR((COUNTIF(I30,"Finalizat")+COUNTIF(M30,"Finalizat")+COUNTIF(Q30,"Finalizat")+COUNTIF(U30,"Finalizat")+COUNTIF(Y30,"Finalizat"))/(5-COUNTIF(I30,"N/A")-COUNTIF(M30,"N/A")-COUNTIF(Q30,"N/A")-COUNTIF(U30,"N/A")-COUNTIF(Y30,"N/A")),0)</f>
        <v/>
      </c>
      <c r="G30" s="73">
        <f>IF(COUNTIF(I30,"Blocat")+COUNTIF(M30,"Blocat")+COUNTIF(Q30,"Blocat")+COUNTIF(U30,"Blocat")+COUNTIF(Y30,"Blocat")&gt;0,"DA","")</f>
        <v/>
      </c>
      <c r="H30" s="74">
        <f>IF(COUNTIF(I30,"Întârziat")+COUNTIF(M30,"Întârziat")+COUNTIF(Q30,"Întârziat")+COUNTIF(U30,"Întârziat")+COUNTIF(Y30,"Întârziat")&gt;0,"DA","")</f>
        <v/>
      </c>
      <c r="I30" s="75" t="inlineStr">
        <is>
          <t>Finalizat</t>
        </is>
      </c>
      <c r="J30" s="76" t="inlineStr"/>
      <c r="K30" s="76" t="inlineStr"/>
      <c r="L30" s="59" t="inlineStr"/>
      <c r="M30" s="75" t="inlineStr">
        <is>
          <t>Finalizat</t>
        </is>
      </c>
      <c r="N30" s="76" t="inlineStr"/>
      <c r="O30" s="76" t="inlineStr"/>
      <c r="P30" s="59" t="inlineStr"/>
      <c r="Q30" s="75" t="inlineStr">
        <is>
          <t>Finalizat</t>
        </is>
      </c>
      <c r="R30" s="76" t="inlineStr"/>
      <c r="S30" s="76" t="inlineStr"/>
      <c r="T30" s="59" t="inlineStr"/>
      <c r="U30" s="75" t="inlineStr">
        <is>
          <t>Finalizat</t>
        </is>
      </c>
      <c r="V30" s="76" t="inlineStr"/>
      <c r="W30" s="76" t="inlineStr"/>
      <c r="X30" s="59" t="inlineStr"/>
      <c r="Y30" s="75" t="inlineStr">
        <is>
          <t>Finalizat</t>
        </is>
      </c>
      <c r="Z30" s="76" t="inlineStr"/>
      <c r="AA30" s="76" t="inlineStr"/>
      <c r="AB30" s="59" t="inlineStr">
        <is>
          <t>OK</t>
        </is>
      </c>
      <c r="AC30" s="136" t="n"/>
    </row>
    <row r="31" ht="18" customHeight="1">
      <c r="A31" s="78" t="inlineStr">
        <is>
          <t>WP1000-09</t>
        </is>
      </c>
      <c r="B31" s="79" t="n">
        <v>9</v>
      </c>
      <c r="C31" s="80" t="inlineStr">
        <is>
          <t>Ventori scrubber</t>
        </is>
      </c>
      <c r="D31" s="81" t="inlineStr">
        <is>
          <t>🟡</t>
        </is>
      </c>
      <c r="E31" s="155">
        <f>IF(G31="DA","⛔ BLOCAT",IF(H31="DA","⚠ INTARZIAT",IF(COUNTIF(I31,"În coadă")+COUNTIF(M31,"În coadă")+COUNTIF(Q31,"În coadă")+COUNTIF(U31,"În coadă")+COUNTIF(Y31,"În coadă")&gt;0,"🔵 ÎN COADĂ",IF(F31=1,"✅ FINALIZAT",IF(F31&gt;0,"🔄 IN LUCRU","○ NEINCEPUT")))))</f>
        <v/>
      </c>
      <c r="F31" s="72">
        <f>IFERROR((COUNTIF(I31,"Finalizat")+COUNTIF(M31,"Finalizat")+COUNTIF(Q31,"Finalizat")+COUNTIF(U31,"Finalizat")+COUNTIF(Y31,"Finalizat"))/(5-COUNTIF(I31,"N/A")-COUNTIF(M31,"N/A")-COUNTIF(Q31,"N/A")-COUNTIF(U31,"N/A")-COUNTIF(Y31,"N/A")),0)</f>
        <v/>
      </c>
      <c r="G31" s="73">
        <f>IF(COUNTIF(I31,"Blocat")+COUNTIF(M31,"Blocat")+COUNTIF(Q31,"Blocat")+COUNTIF(U31,"Blocat")+COUNTIF(Y31,"Blocat")&gt;0,"DA","")</f>
        <v/>
      </c>
      <c r="H31" s="74">
        <f>IF(COUNTIF(I31,"Întârziat")+COUNTIF(M31,"Întârziat")+COUNTIF(Q31,"Întârziat")+COUNTIF(U31,"Întârziat")+COUNTIF(Y31,"Întârziat")&gt;0,"DA","")</f>
        <v/>
      </c>
      <c r="I31" s="75" t="inlineStr">
        <is>
          <t>Finalizat</t>
        </is>
      </c>
      <c r="J31" s="76" t="inlineStr"/>
      <c r="K31" s="76" t="inlineStr"/>
      <c r="L31" s="59" t="inlineStr"/>
      <c r="M31" s="77" t="inlineStr">
        <is>
          <t>N/A</t>
        </is>
      </c>
      <c r="N31" s="76" t="inlineStr"/>
      <c r="O31" s="76" t="inlineStr"/>
      <c r="P31" s="59" t="inlineStr"/>
      <c r="Q31" s="75" t="inlineStr">
        <is>
          <t>Finalizat</t>
        </is>
      </c>
      <c r="R31" s="76" t="inlineStr"/>
      <c r="S31" s="76" t="inlineStr"/>
      <c r="T31" s="59" t="inlineStr"/>
      <c r="U31" s="75" t="inlineStr">
        <is>
          <t>Finalizat</t>
        </is>
      </c>
      <c r="V31" s="76" t="inlineStr"/>
      <c r="W31" s="76" t="inlineStr"/>
      <c r="X31" s="59" t="inlineStr"/>
      <c r="Y31" s="75" t="inlineStr">
        <is>
          <t>Finalizat</t>
        </is>
      </c>
      <c r="Z31" s="76" t="inlineStr"/>
      <c r="AA31" s="76" t="inlineStr"/>
      <c r="AB31" s="59" t="inlineStr">
        <is>
          <t>OK</t>
        </is>
      </c>
      <c r="AC31" s="136" t="n"/>
    </row>
    <row r="32" ht="18" customHeight="1">
      <c r="A32" s="78" t="inlineStr">
        <is>
          <t>WP1000-09</t>
        </is>
      </c>
      <c r="B32" s="79" t="n">
        <v>10</v>
      </c>
      <c r="C32" s="80" t="inlineStr">
        <is>
          <t>Rezervor metalic (racitor)</t>
        </is>
      </c>
      <c r="D32" s="81" t="inlineStr">
        <is>
          <t>🟡</t>
        </is>
      </c>
      <c r="E32" s="155">
        <f>IF(G32="DA","⛔ BLOCAT",IF(H32="DA","⚠ INTARZIAT",IF(COUNTIF(I32,"În coadă")+COUNTIF(M32,"În coadă")+COUNTIF(Q32,"În coadă")+COUNTIF(U32,"În coadă")+COUNTIF(Y32,"În coadă")&gt;0,"🔵 ÎN COADĂ",IF(F32=1,"✅ FINALIZAT",IF(F32&gt;0,"🔄 IN LUCRU","○ NEINCEPUT")))))</f>
        <v/>
      </c>
      <c r="F32" s="72">
        <f>IFERROR((COUNTIF(I32,"Finalizat")+COUNTIF(M32,"Finalizat")+COUNTIF(Q32,"Finalizat")+COUNTIF(U32,"Finalizat")+COUNTIF(Y32,"Finalizat"))/(5-COUNTIF(I32,"N/A")-COUNTIF(M32,"N/A")-COUNTIF(Q32,"N/A")-COUNTIF(U32,"N/A")-COUNTIF(Y32,"N/A")),0)</f>
        <v/>
      </c>
      <c r="G32" s="73">
        <f>IF(COUNTIF(I32,"Blocat")+COUNTIF(M32,"Blocat")+COUNTIF(Q32,"Blocat")+COUNTIF(U32,"Blocat")+COUNTIF(Y32,"Blocat")&gt;0,"DA","")</f>
        <v/>
      </c>
      <c r="H32" s="74">
        <f>IF(COUNTIF(I32,"Întârziat")+COUNTIF(M32,"Întârziat")+COUNTIF(Q32,"Întârziat")+COUNTIF(U32,"Întârziat")+COUNTIF(Y32,"Întârziat")&gt;0,"DA","")</f>
        <v/>
      </c>
      <c r="I32" s="75" t="inlineStr">
        <is>
          <t>Finalizat</t>
        </is>
      </c>
      <c r="J32" s="76" t="inlineStr"/>
      <c r="K32" s="76" t="inlineStr"/>
      <c r="L32" s="59" t="inlineStr"/>
      <c r="M32" s="75" t="inlineStr">
        <is>
          <t>Finalizat</t>
        </is>
      </c>
      <c r="N32" s="76" t="inlineStr"/>
      <c r="O32" s="76" t="inlineStr"/>
      <c r="P32" s="59" t="inlineStr"/>
      <c r="Q32" s="75" t="inlineStr">
        <is>
          <t>Finalizat</t>
        </is>
      </c>
      <c r="R32" s="76" t="inlineStr"/>
      <c r="S32" s="76" t="inlineStr"/>
      <c r="T32" s="59" t="inlineStr"/>
      <c r="U32" s="75" t="inlineStr">
        <is>
          <t>Finalizat</t>
        </is>
      </c>
      <c r="V32" s="76" t="inlineStr"/>
      <c r="W32" s="76" t="inlineStr"/>
      <c r="X32" s="59" t="inlineStr"/>
      <c r="Y32" s="75" t="inlineStr">
        <is>
          <t>Finalizat</t>
        </is>
      </c>
      <c r="Z32" s="76" t="inlineStr"/>
      <c r="AA32" s="76" t="inlineStr"/>
      <c r="AB32" s="59" t="inlineStr">
        <is>
          <t>OK</t>
        </is>
      </c>
      <c r="AC32" s="136" t="n"/>
    </row>
    <row r="33" ht="18" customHeight="1">
      <c r="A33" s="78" t="inlineStr">
        <is>
          <t>WP1000-09</t>
        </is>
      </c>
      <c r="B33" s="79" t="n">
        <v>11</v>
      </c>
      <c r="C33" s="80" t="inlineStr">
        <is>
          <t>Barbutoare</t>
        </is>
      </c>
      <c r="D33" s="81" t="inlineStr">
        <is>
          <t>🟡</t>
        </is>
      </c>
      <c r="E33" s="155">
        <f>IF(G33="DA","⛔ BLOCAT",IF(H33="DA","⚠ INTARZIAT",IF(COUNTIF(I33,"În coadă")+COUNTIF(M33,"În coadă")+COUNTIF(Q33,"În coadă")+COUNTIF(U33,"În coadă")+COUNTIF(Y33,"În coadă")&gt;0,"🔵 ÎN COADĂ",IF(F33=1,"✅ FINALIZAT",IF(F33&gt;0,"🔄 IN LUCRU","○ NEINCEPUT")))))</f>
        <v/>
      </c>
      <c r="F33" s="72">
        <f>IFERROR((COUNTIF(I33,"Finalizat")+COUNTIF(M33,"Finalizat")+COUNTIF(Q33,"Finalizat")+COUNTIF(U33,"Finalizat")+COUNTIF(Y33,"Finalizat"))/(5-COUNTIF(I33,"N/A")-COUNTIF(M33,"N/A")-COUNTIF(Q33,"N/A")-COUNTIF(U33,"N/A")-COUNTIF(Y33,"N/A")),0)</f>
        <v/>
      </c>
      <c r="G33" s="73">
        <f>IF(COUNTIF(I33,"Blocat")+COUNTIF(M33,"Blocat")+COUNTIF(Q33,"Blocat")+COUNTIF(U33,"Blocat")+COUNTIF(Y33,"Blocat")&gt;0,"DA","")</f>
        <v/>
      </c>
      <c r="H33" s="74">
        <f>IF(COUNTIF(I33,"Întârziat")+COUNTIF(M33,"Întârziat")+COUNTIF(Q33,"Întârziat")+COUNTIF(U33,"Întârziat")+COUNTIF(Y33,"Întârziat")&gt;0,"DA","")</f>
        <v/>
      </c>
      <c r="I33" s="75" t="inlineStr">
        <is>
          <t>Finalizat</t>
        </is>
      </c>
      <c r="J33" s="76" t="inlineStr"/>
      <c r="K33" s="76" t="inlineStr"/>
      <c r="L33" s="59" t="inlineStr"/>
      <c r="M33" s="77" t="inlineStr">
        <is>
          <t>N/A</t>
        </is>
      </c>
      <c r="N33" s="76" t="inlineStr"/>
      <c r="O33" s="76" t="inlineStr"/>
      <c r="P33" s="59" t="inlineStr"/>
      <c r="Q33" s="75" t="inlineStr">
        <is>
          <t>Finalizat</t>
        </is>
      </c>
      <c r="R33" s="76" t="inlineStr"/>
      <c r="S33" s="76" t="inlineStr"/>
      <c r="T33" s="59" t="inlineStr"/>
      <c r="U33" s="75" t="inlineStr">
        <is>
          <t>Finalizat</t>
        </is>
      </c>
      <c r="V33" s="76" t="inlineStr"/>
      <c r="W33" s="76" t="inlineStr"/>
      <c r="X33" s="59" t="inlineStr"/>
      <c r="Y33" s="75" t="inlineStr">
        <is>
          <t>Finalizat</t>
        </is>
      </c>
      <c r="Z33" s="76" t="inlineStr"/>
      <c r="AA33" s="76" t="inlineStr"/>
      <c r="AB33" s="59" t="inlineStr">
        <is>
          <t>OK</t>
        </is>
      </c>
      <c r="AC33" s="136" t="n"/>
    </row>
    <row r="34" ht="18" customHeight="1">
      <c r="A34" s="78" t="inlineStr">
        <is>
          <t>WP1000-09</t>
        </is>
      </c>
      <c r="B34" s="79" t="n">
        <v>12</v>
      </c>
      <c r="C34" s="80" t="inlineStr">
        <is>
          <t>Filtre</t>
        </is>
      </c>
      <c r="D34" s="81" t="inlineStr">
        <is>
          <t>🟡</t>
        </is>
      </c>
      <c r="E34" s="155">
        <f>IF(G34="DA","⛔ BLOCAT",IF(H34="DA","⚠ INTARZIAT",IF(COUNTIF(I34,"În coadă")+COUNTIF(M34,"În coadă")+COUNTIF(Q34,"În coadă")+COUNTIF(U34,"În coadă")+COUNTIF(Y34,"În coadă")&gt;0,"🔵 ÎN COADĂ",IF(F34=1,"✅ FINALIZAT",IF(F34&gt;0,"🔄 IN LUCRU","○ NEINCEPUT")))))</f>
        <v/>
      </c>
      <c r="F34" s="72">
        <f>IFERROR((COUNTIF(I34,"Finalizat")+COUNTIF(M34,"Finalizat")+COUNTIF(Q34,"Finalizat")+COUNTIF(U34,"Finalizat")+COUNTIF(Y34,"Finalizat"))/(5-COUNTIF(I34,"N/A")-COUNTIF(M34,"N/A")-COUNTIF(Q34,"N/A")-COUNTIF(U34,"N/A")-COUNTIF(Y34,"N/A")),0)</f>
        <v/>
      </c>
      <c r="G34" s="73">
        <f>IF(COUNTIF(I34,"Blocat")+COUNTIF(M34,"Blocat")+COUNTIF(Q34,"Blocat")+COUNTIF(U34,"Blocat")+COUNTIF(Y34,"Blocat")&gt;0,"DA","")</f>
        <v/>
      </c>
      <c r="H34" s="74">
        <f>IF(COUNTIF(I34,"Întârziat")+COUNTIF(M34,"Întârziat")+COUNTIF(Q34,"Întârziat")+COUNTIF(U34,"Întârziat")+COUNTIF(Y34,"Întârziat")&gt;0,"DA","")</f>
        <v/>
      </c>
      <c r="I34" s="75" t="inlineStr">
        <is>
          <t>Finalizat</t>
        </is>
      </c>
      <c r="J34" s="76" t="inlineStr"/>
      <c r="K34" s="76" t="inlineStr"/>
      <c r="L34" s="59" t="inlineStr"/>
      <c r="M34" s="77" t="inlineStr">
        <is>
          <t>N/A</t>
        </is>
      </c>
      <c r="N34" s="76" t="inlineStr"/>
      <c r="O34" s="76" t="inlineStr"/>
      <c r="P34" s="59" t="inlineStr"/>
      <c r="Q34" s="75" t="inlineStr">
        <is>
          <t>Finalizat</t>
        </is>
      </c>
      <c r="R34" s="76" t="inlineStr"/>
      <c r="S34" s="76" t="inlineStr"/>
      <c r="T34" s="59" t="inlineStr"/>
      <c r="U34" s="75" t="inlineStr">
        <is>
          <t>Finalizat</t>
        </is>
      </c>
      <c r="V34" s="76" t="inlineStr"/>
      <c r="W34" s="76" t="inlineStr"/>
      <c r="X34" s="59" t="inlineStr"/>
      <c r="Y34" s="75" t="inlineStr">
        <is>
          <t>Finalizat</t>
        </is>
      </c>
      <c r="Z34" s="76" t="inlineStr"/>
      <c r="AA34" s="76" t="inlineStr"/>
      <c r="AB34" s="59" t="inlineStr">
        <is>
          <t>OK</t>
        </is>
      </c>
      <c r="AC34" s="136" t="n"/>
    </row>
    <row r="35" ht="18" customHeight="1">
      <c r="A35" s="78" t="inlineStr">
        <is>
          <t>WP1000-09</t>
        </is>
      </c>
      <c r="B35" s="79" t="n">
        <v>13</v>
      </c>
      <c r="C35" s="80" t="inlineStr">
        <is>
          <t>Sistem de tevi</t>
        </is>
      </c>
      <c r="D35" s="81" t="inlineStr">
        <is>
          <t>🟡</t>
        </is>
      </c>
      <c r="E35" s="155">
        <f>IF(G35="DA","⛔ BLOCAT",IF(H35="DA","⚠ INTARZIAT",IF(COUNTIF(I35,"În coadă")+COUNTIF(M35,"În coadă")+COUNTIF(Q35,"În coadă")+COUNTIF(U35,"În coadă")+COUNTIF(Y35,"În coadă")&gt;0,"🔵 ÎN COADĂ",IF(F35=1,"✅ FINALIZAT",IF(F35&gt;0,"🔄 IN LUCRU","○ NEINCEPUT")))))</f>
        <v/>
      </c>
      <c r="F35" s="72">
        <f>IFERROR((COUNTIF(I35,"Finalizat")+COUNTIF(M35,"Finalizat")+COUNTIF(Q35,"Finalizat")+COUNTIF(U35,"Finalizat")+COUNTIF(Y35,"Finalizat"))/(5-COUNTIF(I35,"N/A")-COUNTIF(M35,"N/A")-COUNTIF(Q35,"N/A")-COUNTIF(U35,"N/A")-COUNTIF(Y35,"N/A")),0)</f>
        <v/>
      </c>
      <c r="G35" s="73">
        <f>IF(COUNTIF(I35,"Blocat")+COUNTIF(M35,"Blocat")+COUNTIF(Q35,"Blocat")+COUNTIF(U35,"Blocat")+COUNTIF(Y35,"Blocat")&gt;0,"DA","")</f>
        <v/>
      </c>
      <c r="H35" s="74">
        <f>IF(COUNTIF(I35,"Întârziat")+COUNTIF(M35,"Întârziat")+COUNTIF(Q35,"Întârziat")+COUNTIF(U35,"Întârziat")+COUNTIF(Y35,"Întârziat")&gt;0,"DA","")</f>
        <v/>
      </c>
      <c r="I35" s="75" t="inlineStr">
        <is>
          <t>Finalizat</t>
        </is>
      </c>
      <c r="J35" s="76" t="inlineStr"/>
      <c r="K35" s="76" t="inlineStr"/>
      <c r="L35" s="59" t="inlineStr"/>
      <c r="M35" s="77" t="inlineStr">
        <is>
          <t>N/A</t>
        </is>
      </c>
      <c r="N35" s="76" t="inlineStr"/>
      <c r="O35" s="76" t="inlineStr"/>
      <c r="P35" s="59" t="inlineStr"/>
      <c r="Q35" s="75" t="inlineStr">
        <is>
          <t>Finalizat</t>
        </is>
      </c>
      <c r="R35" s="76" t="inlineStr"/>
      <c r="S35" s="76" t="inlineStr"/>
      <c r="T35" s="59" t="inlineStr"/>
      <c r="U35" s="75" t="inlineStr">
        <is>
          <t>Finalizat</t>
        </is>
      </c>
      <c r="V35" s="76" t="inlineStr"/>
      <c r="W35" s="76" t="inlineStr"/>
      <c r="X35" s="59" t="inlineStr"/>
      <c r="Y35" s="77" t="inlineStr">
        <is>
          <t>N/A</t>
        </is>
      </c>
      <c r="Z35" s="76" t="inlineStr"/>
      <c r="AA35" s="76" t="inlineStr"/>
      <c r="AB35" s="59" t="inlineStr">
        <is>
          <t>OK</t>
        </is>
      </c>
      <c r="AC35" s="136" t="n"/>
    </row>
    <row r="36" ht="18" customHeight="1">
      <c r="A36" s="78" t="inlineStr">
        <is>
          <t>WP1000-09</t>
        </is>
      </c>
      <c r="B36" s="79" t="n">
        <v>14</v>
      </c>
      <c r="C36" s="80" t="inlineStr">
        <is>
          <t>Snec reactor superior</t>
        </is>
      </c>
      <c r="D36" s="81" t="inlineStr">
        <is>
          <t>🟡</t>
        </is>
      </c>
      <c r="E36" s="155">
        <f>IF(G36="DA","⛔ BLOCAT",IF(H36="DA","⚠ INTARZIAT",IF(COUNTIF(I36,"În coadă")+COUNTIF(M36,"În coadă")+COUNTIF(Q36,"În coadă")+COUNTIF(U36,"În coadă")+COUNTIF(Y36,"În coadă")&gt;0,"🔵 ÎN COADĂ",IF(F36=1,"✅ FINALIZAT",IF(F36&gt;0,"🔄 IN LUCRU","○ NEINCEPUT")))))</f>
        <v/>
      </c>
      <c r="F36" s="72">
        <f>IFERROR((COUNTIF(I36,"Finalizat")+COUNTIF(M36,"Finalizat")+COUNTIF(Q36,"Finalizat")+COUNTIF(U36,"Finalizat")+COUNTIF(Y36,"Finalizat"))/(5-COUNTIF(I36,"N/A")-COUNTIF(M36,"N/A")-COUNTIF(Q36,"N/A")-COUNTIF(U36,"N/A")-COUNTIF(Y36,"N/A")),0)</f>
        <v/>
      </c>
      <c r="G36" s="73">
        <f>IF(COUNTIF(I36,"Blocat")+COUNTIF(M36,"Blocat")+COUNTIF(Q36,"Blocat")+COUNTIF(U36,"Blocat")+COUNTIF(Y36,"Blocat")&gt;0,"DA","")</f>
        <v/>
      </c>
      <c r="H36" s="74">
        <f>IF(COUNTIF(I36,"Întârziat")+COUNTIF(M36,"Întârziat")+COUNTIF(Q36,"Întârziat")+COUNTIF(U36,"Întârziat")+COUNTIF(Y36,"Întârziat")&gt;0,"DA","")</f>
        <v/>
      </c>
      <c r="I36" s="75" t="inlineStr">
        <is>
          <t>Finalizat</t>
        </is>
      </c>
      <c r="J36" s="76" t="inlineStr"/>
      <c r="K36" s="76" t="inlineStr"/>
      <c r="L36" s="59" t="inlineStr"/>
      <c r="M36" s="77" t="inlineStr">
        <is>
          <t>N/A</t>
        </is>
      </c>
      <c r="N36" s="76" t="inlineStr"/>
      <c r="O36" s="76" t="inlineStr"/>
      <c r="P36" s="59" t="inlineStr"/>
      <c r="Q36" s="75" t="inlineStr">
        <is>
          <t>Finalizat</t>
        </is>
      </c>
      <c r="R36" s="76" t="inlineStr"/>
      <c r="S36" s="76" t="inlineStr"/>
      <c r="T36" s="59" t="inlineStr"/>
      <c r="U36" s="75" t="inlineStr">
        <is>
          <t>Finalizat</t>
        </is>
      </c>
      <c r="V36" s="76" t="inlineStr"/>
      <c r="W36" s="76" t="inlineStr"/>
      <c r="X36" s="59" t="inlineStr"/>
      <c r="Y36" s="75" t="inlineStr">
        <is>
          <t>Finalizat</t>
        </is>
      </c>
      <c r="Z36" s="76" t="inlineStr"/>
      <c r="AA36" s="76" t="inlineStr"/>
      <c r="AB36" s="59" t="inlineStr">
        <is>
          <t>OK</t>
        </is>
      </c>
      <c r="AC36" s="136" t="n"/>
    </row>
    <row r="37" ht="18" customHeight="1">
      <c r="A37" s="78" t="inlineStr">
        <is>
          <t>WP1000-09</t>
        </is>
      </c>
      <c r="B37" s="79" t="n">
        <v>15</v>
      </c>
      <c r="C37" s="80" t="inlineStr">
        <is>
          <t>Snec reactor inferior</t>
        </is>
      </c>
      <c r="D37" s="81" t="inlineStr">
        <is>
          <t>🟡</t>
        </is>
      </c>
      <c r="E37" s="155">
        <f>IF(G37="DA","⛔ BLOCAT",IF(H37="DA","⚠ INTARZIAT",IF(COUNTIF(I37,"În coadă")+COUNTIF(M37,"În coadă")+COUNTIF(Q37,"În coadă")+COUNTIF(U37,"În coadă")+COUNTIF(Y37,"În coadă")&gt;0,"🔵 ÎN COADĂ",IF(F37=1,"✅ FINALIZAT",IF(F37&gt;0,"🔄 IN LUCRU","○ NEINCEPUT")))))</f>
        <v/>
      </c>
      <c r="F37" s="72">
        <f>IFERROR((COUNTIF(I37,"Finalizat")+COUNTIF(M37,"Finalizat")+COUNTIF(Q37,"Finalizat")+COUNTIF(U37,"Finalizat")+COUNTIF(Y37,"Finalizat"))/(5-COUNTIF(I37,"N/A")-COUNTIF(M37,"N/A")-COUNTIF(Q37,"N/A")-COUNTIF(U37,"N/A")-COUNTIF(Y37,"N/A")),0)</f>
        <v/>
      </c>
      <c r="G37" s="73">
        <f>IF(COUNTIF(I37,"Blocat")+COUNTIF(M37,"Blocat")+COUNTIF(Q37,"Blocat")+COUNTIF(U37,"Blocat")+COUNTIF(Y37,"Blocat")&gt;0,"DA","")</f>
        <v/>
      </c>
      <c r="H37" s="74">
        <f>IF(COUNTIF(I37,"Întârziat")+COUNTIF(M37,"Întârziat")+COUNTIF(Q37,"Întârziat")+COUNTIF(U37,"Întârziat")+COUNTIF(Y37,"Întârziat")&gt;0,"DA","")</f>
        <v/>
      </c>
      <c r="I37" s="75" t="inlineStr">
        <is>
          <t>Finalizat</t>
        </is>
      </c>
      <c r="J37" s="76" t="inlineStr"/>
      <c r="K37" s="76" t="inlineStr"/>
      <c r="L37" s="59" t="inlineStr"/>
      <c r="M37" s="77" t="inlineStr">
        <is>
          <t>N/A</t>
        </is>
      </c>
      <c r="N37" s="76" t="inlineStr"/>
      <c r="O37" s="76" t="inlineStr"/>
      <c r="P37" s="59" t="inlineStr"/>
      <c r="Q37" s="75" t="inlineStr">
        <is>
          <t>Finalizat</t>
        </is>
      </c>
      <c r="R37" s="76" t="inlineStr"/>
      <c r="S37" s="76" t="inlineStr"/>
      <c r="T37" s="59" t="inlineStr"/>
      <c r="U37" s="75" t="inlineStr">
        <is>
          <t>Finalizat</t>
        </is>
      </c>
      <c r="V37" s="76" t="inlineStr"/>
      <c r="W37" s="76" t="inlineStr"/>
      <c r="X37" s="59" t="inlineStr"/>
      <c r="Y37" s="75" t="inlineStr">
        <is>
          <t>Finalizat</t>
        </is>
      </c>
      <c r="Z37" s="76" t="inlineStr"/>
      <c r="AA37" s="76" t="inlineStr"/>
      <c r="AB37" s="59" t="inlineStr">
        <is>
          <t>OK</t>
        </is>
      </c>
      <c r="AC37" s="136" t="n"/>
    </row>
    <row r="38" ht="18" customHeight="1">
      <c r="A38" s="78" t="inlineStr">
        <is>
          <t>WP1000-09</t>
        </is>
      </c>
      <c r="B38" s="79" t="n">
        <v>16</v>
      </c>
      <c r="C38" s="80" t="inlineStr">
        <is>
          <t>Snec compactor intrare</t>
        </is>
      </c>
      <c r="D38" s="81" t="inlineStr">
        <is>
          <t>🟡</t>
        </is>
      </c>
      <c r="E38" s="155">
        <f>IF(G38="DA","⛔ BLOCAT",IF(H38="DA","⚠ INTARZIAT",IF(COUNTIF(I38,"În coadă")+COUNTIF(M38,"În coadă")+COUNTIF(Q38,"În coadă")+COUNTIF(U38,"În coadă")+COUNTIF(Y38,"În coadă")&gt;0,"🔵 ÎN COADĂ",IF(F38=1,"✅ FINALIZAT",IF(F38&gt;0,"🔄 IN LUCRU","○ NEINCEPUT")))))</f>
        <v/>
      </c>
      <c r="F38" s="72">
        <f>IFERROR((COUNTIF(I38,"Finalizat")+COUNTIF(M38,"Finalizat")+COUNTIF(Q38,"Finalizat")+COUNTIF(U38,"Finalizat")+COUNTIF(Y38,"Finalizat"))/(5-COUNTIF(I38,"N/A")-COUNTIF(M38,"N/A")-COUNTIF(Q38,"N/A")-COUNTIF(U38,"N/A")-COUNTIF(Y38,"N/A")),0)</f>
        <v/>
      </c>
      <c r="G38" s="73">
        <f>IF(COUNTIF(I38,"Blocat")+COUNTIF(M38,"Blocat")+COUNTIF(Q38,"Blocat")+COUNTIF(U38,"Blocat")+COUNTIF(Y38,"Blocat")&gt;0,"DA","")</f>
        <v/>
      </c>
      <c r="H38" s="74">
        <f>IF(COUNTIF(I38,"Întârziat")+COUNTIF(M38,"Întârziat")+COUNTIF(Q38,"Întârziat")+COUNTIF(U38,"Întârziat")+COUNTIF(Y38,"Întârziat")&gt;0,"DA","")</f>
        <v/>
      </c>
      <c r="I38" s="75" t="inlineStr">
        <is>
          <t>Finalizat</t>
        </is>
      </c>
      <c r="J38" s="76" t="inlineStr"/>
      <c r="K38" s="76" t="inlineStr"/>
      <c r="L38" s="59" t="inlineStr"/>
      <c r="M38" s="77" t="inlineStr">
        <is>
          <t>N/A</t>
        </is>
      </c>
      <c r="N38" s="76" t="inlineStr"/>
      <c r="O38" s="76" t="inlineStr"/>
      <c r="P38" s="59" t="inlineStr"/>
      <c r="Q38" s="75" t="inlineStr">
        <is>
          <t>Finalizat</t>
        </is>
      </c>
      <c r="R38" s="76" t="inlineStr"/>
      <c r="S38" s="76" t="inlineStr"/>
      <c r="T38" s="59" t="inlineStr"/>
      <c r="U38" s="75" t="inlineStr">
        <is>
          <t>Finalizat</t>
        </is>
      </c>
      <c r="V38" s="76" t="inlineStr"/>
      <c r="W38" s="76" t="inlineStr"/>
      <c r="X38" s="59" t="inlineStr"/>
      <c r="Y38" s="75" t="inlineStr">
        <is>
          <t>Finalizat</t>
        </is>
      </c>
      <c r="Z38" s="76" t="inlineStr"/>
      <c r="AA38" s="76" t="inlineStr"/>
      <c r="AB38" s="59" t="inlineStr">
        <is>
          <t>OK</t>
        </is>
      </c>
      <c r="AC38" s="136" t="n"/>
    </row>
    <row r="39" ht="18" customHeight="1">
      <c r="A39" s="78" t="inlineStr">
        <is>
          <t>WP1000-09</t>
        </is>
      </c>
      <c r="B39" s="79" t="n">
        <v>17</v>
      </c>
      <c r="C39" s="80" t="inlineStr">
        <is>
          <t>Snec compactor iesire</t>
        </is>
      </c>
      <c r="D39" s="81" t="inlineStr">
        <is>
          <t>🟡</t>
        </is>
      </c>
      <c r="E39" s="155">
        <f>IF(G39="DA","⛔ BLOCAT",IF(H39="DA","⚠ INTARZIAT",IF(COUNTIF(I39,"În coadă")+COUNTIF(M39,"În coadă")+COUNTIF(Q39,"În coadă")+COUNTIF(U39,"În coadă")+COUNTIF(Y39,"În coadă")&gt;0,"🔵 ÎN COADĂ",IF(F39=1,"✅ FINALIZAT",IF(F39&gt;0,"🔄 IN LUCRU","○ NEINCEPUT")))))</f>
        <v/>
      </c>
      <c r="F39" s="72">
        <f>IFERROR((COUNTIF(I39,"Finalizat")+COUNTIF(M39,"Finalizat")+COUNTIF(Q39,"Finalizat")+COUNTIF(U39,"Finalizat")+COUNTIF(Y39,"Finalizat"))/(5-COUNTIF(I39,"N/A")-COUNTIF(M39,"N/A")-COUNTIF(Q39,"N/A")-COUNTIF(U39,"N/A")-COUNTIF(Y39,"N/A")),0)</f>
        <v/>
      </c>
      <c r="G39" s="73">
        <f>IF(COUNTIF(I39,"Blocat")+COUNTIF(M39,"Blocat")+COUNTIF(Q39,"Blocat")+COUNTIF(U39,"Blocat")+COUNTIF(Y39,"Blocat")&gt;0,"DA","")</f>
        <v/>
      </c>
      <c r="H39" s="74">
        <f>IF(COUNTIF(I39,"Întârziat")+COUNTIF(M39,"Întârziat")+COUNTIF(Q39,"Întârziat")+COUNTIF(U39,"Întârziat")+COUNTIF(Y39,"Întârziat")&gt;0,"DA","")</f>
        <v/>
      </c>
      <c r="I39" s="75" t="inlineStr">
        <is>
          <t>Finalizat</t>
        </is>
      </c>
      <c r="J39" s="76" t="inlineStr"/>
      <c r="K39" s="76" t="inlineStr"/>
      <c r="L39" s="59" t="inlineStr"/>
      <c r="M39" s="77" t="inlineStr">
        <is>
          <t>N/A</t>
        </is>
      </c>
      <c r="N39" s="76" t="inlineStr"/>
      <c r="O39" s="76" t="inlineStr"/>
      <c r="P39" s="59" t="inlineStr"/>
      <c r="Q39" s="75" t="inlineStr">
        <is>
          <t>Finalizat</t>
        </is>
      </c>
      <c r="R39" s="76" t="inlineStr"/>
      <c r="S39" s="76" t="inlineStr"/>
      <c r="T39" s="59" t="inlineStr"/>
      <c r="U39" s="75" t="inlineStr">
        <is>
          <t>Finalizat</t>
        </is>
      </c>
      <c r="V39" s="76" t="inlineStr"/>
      <c r="W39" s="76" t="inlineStr"/>
      <c r="X39" s="59" t="inlineStr"/>
      <c r="Y39" s="75" t="inlineStr">
        <is>
          <t>Finalizat</t>
        </is>
      </c>
      <c r="Z39" s="76" t="inlineStr"/>
      <c r="AA39" s="76" t="inlineStr"/>
      <c r="AB39" s="59" t="inlineStr">
        <is>
          <t>OK</t>
        </is>
      </c>
      <c r="AC39" s="136" t="n"/>
    </row>
    <row r="40" ht="18" customHeight="1">
      <c r="A40" s="78" t="inlineStr">
        <is>
          <t>WP1000-09</t>
        </is>
      </c>
      <c r="B40" s="79" t="n">
        <v>18</v>
      </c>
      <c r="C40" s="80" t="inlineStr">
        <is>
          <t>Presetupe</t>
        </is>
      </c>
      <c r="D40" s="81" t="inlineStr">
        <is>
          <t>🟡</t>
        </is>
      </c>
      <c r="E40" s="155">
        <f>IF(G40="DA","⛔ BLOCAT",IF(H40="DA","⚠ INTARZIAT",IF(COUNTIF(I40,"În coadă")+COUNTIF(M40,"În coadă")+COUNTIF(Q40,"În coadă")+COUNTIF(U40,"În coadă")+COUNTIF(Y40,"În coadă")&gt;0,"🔵 ÎN COADĂ",IF(F40=1,"✅ FINALIZAT",IF(F40&gt;0,"🔄 IN LUCRU","○ NEINCEPUT")))))</f>
        <v/>
      </c>
      <c r="F40" s="72">
        <f>IFERROR((COUNTIF(I40,"Finalizat")+COUNTIF(M40,"Finalizat")+COUNTIF(Q40,"Finalizat")+COUNTIF(U40,"Finalizat")+COUNTIF(Y40,"Finalizat"))/(5-COUNTIF(I40,"N/A")-COUNTIF(M40,"N/A")-COUNTIF(Q40,"N/A")-COUNTIF(U40,"N/A")-COUNTIF(Y40,"N/A")),0)</f>
        <v/>
      </c>
      <c r="G40" s="73">
        <f>IF(COUNTIF(I40,"Blocat")+COUNTIF(M40,"Blocat")+COUNTIF(Q40,"Blocat")+COUNTIF(U40,"Blocat")+COUNTIF(Y40,"Blocat")&gt;0,"DA","")</f>
        <v/>
      </c>
      <c r="H40" s="74">
        <f>IF(COUNTIF(I40,"Întârziat")+COUNTIF(M40,"Întârziat")+COUNTIF(Q40,"Întârziat")+COUNTIF(U40,"Întârziat")+COUNTIF(Y40,"Întârziat")&gt;0,"DA","")</f>
        <v/>
      </c>
      <c r="I40" s="75" t="inlineStr">
        <is>
          <t>Finalizat</t>
        </is>
      </c>
      <c r="J40" s="76" t="inlineStr"/>
      <c r="K40" s="76" t="inlineStr"/>
      <c r="L40" s="59" t="inlineStr"/>
      <c r="M40" s="77" t="inlineStr">
        <is>
          <t>N/A</t>
        </is>
      </c>
      <c r="N40" s="76" t="inlineStr"/>
      <c r="O40" s="76" t="inlineStr"/>
      <c r="P40" s="59" t="inlineStr"/>
      <c r="Q40" s="75" t="inlineStr">
        <is>
          <t>Finalizat</t>
        </is>
      </c>
      <c r="R40" s="76" t="inlineStr"/>
      <c r="S40" s="76" t="inlineStr"/>
      <c r="T40" s="59" t="inlineStr"/>
      <c r="U40" s="75" t="inlineStr">
        <is>
          <t>Finalizat</t>
        </is>
      </c>
      <c r="V40" s="76" t="inlineStr"/>
      <c r="W40" s="76" t="inlineStr"/>
      <c r="X40" s="59" t="inlineStr"/>
      <c r="Y40" s="75" t="inlineStr">
        <is>
          <t>Finalizat</t>
        </is>
      </c>
      <c r="Z40" s="76" t="inlineStr"/>
      <c r="AA40" s="76" t="inlineStr"/>
      <c r="AB40" s="59" t="inlineStr">
        <is>
          <t>OK</t>
        </is>
      </c>
      <c r="AC40" s="136" t="n"/>
    </row>
    <row r="41" ht="18" customHeight="1">
      <c r="A41" s="78" t="inlineStr">
        <is>
          <t>WP1000-09</t>
        </is>
      </c>
      <c r="B41" s="79" t="n">
        <v>19</v>
      </c>
      <c r="C41" s="80" t="inlineStr">
        <is>
          <t>Turn de racire</t>
        </is>
      </c>
      <c r="D41" s="81" t="inlineStr">
        <is>
          <t>🟡</t>
        </is>
      </c>
      <c r="E41" s="155">
        <f>IF(G41="DA","⛔ BLOCAT",IF(H41="DA","⚠ INTARZIAT",IF(COUNTIF(I41,"În coadă")+COUNTIF(M41,"În coadă")+COUNTIF(Q41,"În coadă")+COUNTIF(U41,"În coadă")+COUNTIF(Y41,"În coadă")&gt;0,"🔵 ÎN COADĂ",IF(F41=1,"✅ FINALIZAT",IF(F41&gt;0,"🔄 IN LUCRU","○ NEINCEPUT")))))</f>
        <v/>
      </c>
      <c r="F41" s="72">
        <f>IFERROR((COUNTIF(I41,"Finalizat")+COUNTIF(M41,"Finalizat")+COUNTIF(Q41,"Finalizat")+COUNTIF(U41,"Finalizat")+COUNTIF(Y41,"Finalizat"))/(5-COUNTIF(I41,"N/A")-COUNTIF(M41,"N/A")-COUNTIF(Q41,"N/A")-COUNTIF(U41,"N/A")-COUNTIF(Y41,"N/A")),0)</f>
        <v/>
      </c>
      <c r="G41" s="73">
        <f>IF(COUNTIF(I41,"Blocat")+COUNTIF(M41,"Blocat")+COUNTIF(Q41,"Blocat")+COUNTIF(U41,"Blocat")+COUNTIF(Y41,"Blocat")&gt;0,"DA","")</f>
        <v/>
      </c>
      <c r="H41" s="74">
        <f>IF(COUNTIF(I41,"Întârziat")+COUNTIF(M41,"Întârziat")+COUNTIF(Q41,"Întârziat")+COUNTIF(U41,"Întârziat")+COUNTIF(Y41,"Întârziat")&gt;0,"DA","")</f>
        <v/>
      </c>
      <c r="I41" s="75" t="inlineStr">
        <is>
          <t>Finalizat</t>
        </is>
      </c>
      <c r="J41" s="76" t="inlineStr"/>
      <c r="K41" s="76" t="inlineStr"/>
      <c r="L41" s="59" t="inlineStr"/>
      <c r="M41" s="75" t="inlineStr">
        <is>
          <t>Finalizat</t>
        </is>
      </c>
      <c r="N41" s="76" t="inlineStr"/>
      <c r="O41" s="76" t="inlineStr"/>
      <c r="P41" s="59" t="inlineStr"/>
      <c r="Q41" s="75" t="inlineStr">
        <is>
          <t>Finalizat</t>
        </is>
      </c>
      <c r="R41" s="76" t="inlineStr"/>
      <c r="S41" s="76" t="inlineStr"/>
      <c r="T41" s="59" t="inlineStr"/>
      <c r="U41" s="82" t="inlineStr">
        <is>
          <t>În lucru</t>
        </is>
      </c>
      <c r="V41" s="76" t="inlineStr"/>
      <c r="W41" s="76" t="inlineStr"/>
      <c r="X41" s="59" t="inlineStr"/>
      <c r="Y41" s="83" t="inlineStr">
        <is>
          <t>Neînceput</t>
        </is>
      </c>
      <c r="Z41" s="76" t="inlineStr"/>
      <c r="AA41" s="76" t="inlineStr"/>
      <c r="AB41" s="59" t="inlineStr">
        <is>
          <t>In lucru - asamblare</t>
        </is>
      </c>
      <c r="AC41" s="136" t="n"/>
    </row>
    <row r="42" ht="18" customHeight="1">
      <c r="A42" s="67" t="inlineStr">
        <is>
          <t>WP1000-10</t>
        </is>
      </c>
      <c r="B42" s="68" t="n">
        <v>1</v>
      </c>
      <c r="C42" s="69" t="inlineStr">
        <is>
          <t>Structura metalica</t>
        </is>
      </c>
      <c r="D42" s="70" t="inlineStr">
        <is>
          <t>🔴</t>
        </is>
      </c>
      <c r="E42" s="155">
        <f>IF(G42="DA","⛔ BLOCAT",IF(H42="DA","⚠ INTARZIAT",IF(COUNTIF(I42,"În coadă")+COUNTIF(M42,"În coadă")+COUNTIF(Q42,"În coadă")+COUNTIF(U42,"În coadă")+COUNTIF(Y42,"În coadă")&gt;0,"🔵 ÎN COADĂ",IF(F42=1,"✅ FINALIZAT",IF(F42&gt;0,"🔄 IN LUCRU","○ NEINCEPUT")))))</f>
        <v/>
      </c>
      <c r="F42" s="72">
        <f>IFERROR((COUNTIF(I42,"Finalizat")+COUNTIF(M42,"Finalizat")+COUNTIF(Q42,"Finalizat")+COUNTIF(U42,"Finalizat")+COUNTIF(Y42,"Finalizat"))/(5-COUNTIF(I42,"N/A")-COUNTIF(M42,"N/A")-COUNTIF(Q42,"N/A")-COUNTIF(U42,"N/A")-COUNTIF(Y42,"N/A")),0)</f>
        <v/>
      </c>
      <c r="G42" s="73">
        <f>IF(COUNTIF(I42,"Blocat")+COUNTIF(M42,"Blocat")+COUNTIF(Q42,"Blocat")+COUNTIF(U42,"Blocat")+COUNTIF(Y42,"Blocat")&gt;0,"DA","")</f>
        <v/>
      </c>
      <c r="H42" s="74">
        <f>IF(COUNTIF(I42,"Întârziat")+COUNTIF(M42,"Întârziat")+COUNTIF(Q42,"Întârziat")+COUNTIF(U42,"Întârziat")+COUNTIF(Y42,"Întârziat")&gt;0,"DA","")</f>
        <v/>
      </c>
      <c r="I42" s="75" t="inlineStr">
        <is>
          <t>Finalizat</t>
        </is>
      </c>
      <c r="J42" s="76" t="inlineStr"/>
      <c r="K42" s="76" t="inlineStr"/>
      <c r="L42" s="59" t="inlineStr"/>
      <c r="M42" s="77" t="inlineStr">
        <is>
          <t>N/A</t>
        </is>
      </c>
      <c r="N42" s="76" t="inlineStr"/>
      <c r="O42" s="76" t="inlineStr"/>
      <c r="P42" s="59" t="inlineStr"/>
      <c r="Q42" s="75" t="inlineStr">
        <is>
          <t>Finalizat</t>
        </is>
      </c>
      <c r="R42" s="76" t="inlineStr"/>
      <c r="S42" s="76" t="inlineStr"/>
      <c r="T42" s="59" t="inlineStr"/>
      <c r="U42" s="75" t="inlineStr">
        <is>
          <t>Finalizat</t>
        </is>
      </c>
      <c r="V42" s="76" t="inlineStr"/>
      <c r="W42" s="76" t="inlineStr"/>
      <c r="X42" s="59" t="inlineStr"/>
      <c r="Y42" s="75" t="inlineStr">
        <is>
          <t>Finalizat</t>
        </is>
      </c>
      <c r="Z42" s="76" t="inlineStr"/>
      <c r="AA42" s="76" t="inlineStr"/>
      <c r="AB42" s="59" t="inlineStr">
        <is>
          <t>OK</t>
        </is>
      </c>
      <c r="AC42" s="136" t="n"/>
    </row>
    <row r="43" ht="18" customHeight="1">
      <c r="A43" s="67" t="inlineStr">
        <is>
          <t>WP1000-10</t>
        </is>
      </c>
      <c r="B43" s="68" t="n">
        <v>2</v>
      </c>
      <c r="C43" s="69" t="inlineStr">
        <is>
          <t>Scara metalica</t>
        </is>
      </c>
      <c r="D43" s="70" t="inlineStr">
        <is>
          <t>🔴</t>
        </is>
      </c>
      <c r="E43" s="155">
        <f>IF(G43="DA","⛔ BLOCAT",IF(H43="DA","⚠ INTARZIAT",IF(COUNTIF(I43,"În coadă")+COUNTIF(M43,"În coadă")+COUNTIF(Q43,"În coadă")+COUNTIF(U43,"În coadă")+COUNTIF(Y43,"În coadă")&gt;0,"🔵 ÎN COADĂ",IF(F43=1,"✅ FINALIZAT",IF(F43&gt;0,"🔄 IN LUCRU","○ NEINCEPUT")))))</f>
        <v/>
      </c>
      <c r="F43" s="72">
        <f>IFERROR((COUNTIF(I43,"Finalizat")+COUNTIF(M43,"Finalizat")+COUNTIF(Q43,"Finalizat")+COUNTIF(U43,"Finalizat")+COUNTIF(Y43,"Finalizat"))/(5-COUNTIF(I43,"N/A")-COUNTIF(M43,"N/A")-COUNTIF(Q43,"N/A")-COUNTIF(U43,"N/A")-COUNTIF(Y43,"N/A")),0)</f>
        <v/>
      </c>
      <c r="G43" s="73">
        <f>IF(COUNTIF(I43,"Blocat")+COUNTIF(M43,"Blocat")+COUNTIF(Q43,"Blocat")+COUNTIF(U43,"Blocat")+COUNTIF(Y43,"Blocat")&gt;0,"DA","")</f>
        <v/>
      </c>
      <c r="H43" s="74">
        <f>IF(COUNTIF(I43,"Întârziat")+COUNTIF(M43,"Întârziat")+COUNTIF(Q43,"Întârziat")+COUNTIF(U43,"Întârziat")+COUNTIF(Y43,"Întârziat")&gt;0,"DA","")</f>
        <v/>
      </c>
      <c r="I43" s="75" t="inlineStr">
        <is>
          <t>Finalizat</t>
        </is>
      </c>
      <c r="J43" s="76" t="inlineStr"/>
      <c r="K43" s="76" t="inlineStr"/>
      <c r="L43" s="59" t="inlineStr"/>
      <c r="M43" s="77" t="inlineStr">
        <is>
          <t>N/A</t>
        </is>
      </c>
      <c r="N43" s="76" t="inlineStr"/>
      <c r="O43" s="76" t="inlineStr"/>
      <c r="P43" s="59" t="inlineStr"/>
      <c r="Q43" s="75" t="inlineStr">
        <is>
          <t>Finalizat</t>
        </is>
      </c>
      <c r="R43" s="76" t="inlineStr"/>
      <c r="S43" s="76" t="inlineStr"/>
      <c r="T43" s="59" t="inlineStr"/>
      <c r="U43" s="75" t="inlineStr">
        <is>
          <t>Finalizat</t>
        </is>
      </c>
      <c r="V43" s="76" t="inlineStr"/>
      <c r="W43" s="76" t="inlineStr"/>
      <c r="X43" s="59" t="inlineStr"/>
      <c r="Y43" s="75" t="inlineStr">
        <is>
          <t>Finalizat</t>
        </is>
      </c>
      <c r="Z43" s="76" t="inlineStr"/>
      <c r="AA43" s="76" t="inlineStr"/>
      <c r="AB43" s="59" t="inlineStr">
        <is>
          <t>OK</t>
        </is>
      </c>
      <c r="AC43" s="136" t="n"/>
    </row>
    <row r="44" ht="18" customHeight="1">
      <c r="A44" s="67" t="inlineStr">
        <is>
          <t>WP1000-10</t>
        </is>
      </c>
      <c r="B44" s="68" t="n">
        <v>3</v>
      </c>
      <c r="C44" s="69" t="inlineStr">
        <is>
          <t>Compactor iesire</t>
        </is>
      </c>
      <c r="D44" s="70" t="inlineStr">
        <is>
          <t>🔴</t>
        </is>
      </c>
      <c r="E44" s="155">
        <f>IF(G44="DA","⛔ BLOCAT",IF(H44="DA","⚠ INTARZIAT",IF(COUNTIF(I44,"În coadă")+COUNTIF(M44,"În coadă")+COUNTIF(Q44,"În coadă")+COUNTIF(U44,"În coadă")+COUNTIF(Y44,"În coadă")&gt;0,"🔵 ÎN COADĂ",IF(F44=1,"✅ FINALIZAT",IF(F44&gt;0,"🔄 IN LUCRU","○ NEINCEPUT")))))</f>
        <v/>
      </c>
      <c r="F44" s="72">
        <f>IFERROR((COUNTIF(I44,"Finalizat")+COUNTIF(M44,"Finalizat")+COUNTIF(Q44,"Finalizat")+COUNTIF(U44,"Finalizat")+COUNTIF(Y44,"Finalizat"))/(5-COUNTIF(I44,"N/A")-COUNTIF(M44,"N/A")-COUNTIF(Q44,"N/A")-COUNTIF(U44,"N/A")-COUNTIF(Y44,"N/A")),0)</f>
        <v/>
      </c>
      <c r="G44" s="73">
        <f>IF(COUNTIF(I44,"Blocat")+COUNTIF(M44,"Blocat")+COUNTIF(Q44,"Blocat")+COUNTIF(U44,"Blocat")+COUNTIF(Y44,"Blocat")&gt;0,"DA","")</f>
        <v/>
      </c>
      <c r="H44" s="74">
        <f>IF(COUNTIF(I44,"Întârziat")+COUNTIF(M44,"Întârziat")+COUNTIF(Q44,"Întârziat")+COUNTIF(U44,"Întârziat")+COUNTIF(Y44,"Întârziat")&gt;0,"DA","")</f>
        <v/>
      </c>
      <c r="I44" s="75" t="inlineStr">
        <is>
          <t>Finalizat</t>
        </is>
      </c>
      <c r="J44" s="76" t="inlineStr"/>
      <c r="K44" s="76" t="inlineStr"/>
      <c r="L44" s="59" t="inlineStr"/>
      <c r="M44" s="75" t="inlineStr">
        <is>
          <t>Finalizat</t>
        </is>
      </c>
      <c r="N44" s="76" t="inlineStr"/>
      <c r="O44" s="76" t="inlineStr"/>
      <c r="P44" s="59" t="inlineStr"/>
      <c r="Q44" s="75" t="inlineStr">
        <is>
          <t>Finalizat</t>
        </is>
      </c>
      <c r="R44" s="76" t="inlineStr"/>
      <c r="S44" s="76" t="inlineStr"/>
      <c r="T44" s="59" t="inlineStr"/>
      <c r="U44" s="75" t="inlineStr">
        <is>
          <t>Finalizat</t>
        </is>
      </c>
      <c r="V44" s="76" t="inlineStr"/>
      <c r="W44" s="76" t="inlineStr"/>
      <c r="X44" s="59" t="inlineStr"/>
      <c r="Y44" s="75" t="inlineStr">
        <is>
          <t>Finalizat</t>
        </is>
      </c>
      <c r="Z44" s="76" t="inlineStr"/>
      <c r="AA44" s="76" t="inlineStr"/>
      <c r="AB44" s="59" t="inlineStr">
        <is>
          <t>OK</t>
        </is>
      </c>
      <c r="AC44" s="136" t="n"/>
    </row>
    <row r="45" ht="18" customHeight="1">
      <c r="A45" s="67" t="inlineStr">
        <is>
          <t>WP1000-10</t>
        </is>
      </c>
      <c r="B45" s="68" t="n">
        <v>4</v>
      </c>
      <c r="C45" s="69" t="inlineStr">
        <is>
          <t>Compactor intrare</t>
        </is>
      </c>
      <c r="D45" s="70" t="inlineStr">
        <is>
          <t>🔴</t>
        </is>
      </c>
      <c r="E45" s="155">
        <f>IF(G45="DA","⛔ BLOCAT",IF(H45="DA","⚠ INTARZIAT",IF(COUNTIF(I45,"În coadă")+COUNTIF(M45,"În coadă")+COUNTIF(Q45,"În coadă")+COUNTIF(U45,"În coadă")+COUNTIF(Y45,"În coadă")&gt;0,"🔵 ÎN COADĂ",IF(F45=1,"✅ FINALIZAT",IF(F45&gt;0,"🔄 IN LUCRU","○ NEINCEPUT")))))</f>
        <v/>
      </c>
      <c r="F45" s="72">
        <f>IFERROR((COUNTIF(I45,"Finalizat")+COUNTIF(M45,"Finalizat")+COUNTIF(Q45,"Finalizat")+COUNTIF(U45,"Finalizat")+COUNTIF(Y45,"Finalizat"))/(5-COUNTIF(I45,"N/A")-COUNTIF(M45,"N/A")-COUNTIF(Q45,"N/A")-COUNTIF(U45,"N/A")-COUNTIF(Y45,"N/A")),0)</f>
        <v/>
      </c>
      <c r="G45" s="73">
        <f>IF(COUNTIF(I45,"Blocat")+COUNTIF(M45,"Blocat")+COUNTIF(Q45,"Blocat")+COUNTIF(U45,"Blocat")+COUNTIF(Y45,"Blocat")&gt;0,"DA","")</f>
        <v/>
      </c>
      <c r="H45" s="74">
        <f>IF(COUNTIF(I45,"Întârziat")+COUNTIF(M45,"Întârziat")+COUNTIF(Q45,"Întârziat")+COUNTIF(U45,"Întârziat")+COUNTIF(Y45,"Întârziat")&gt;0,"DA","")</f>
        <v/>
      </c>
      <c r="I45" s="75" t="inlineStr">
        <is>
          <t>Finalizat</t>
        </is>
      </c>
      <c r="J45" s="76" t="inlineStr"/>
      <c r="K45" s="76" t="inlineStr"/>
      <c r="L45" s="59" t="inlineStr"/>
      <c r="M45" s="75" t="inlineStr">
        <is>
          <t>Finalizat</t>
        </is>
      </c>
      <c r="N45" s="76" t="inlineStr"/>
      <c r="O45" s="76" t="inlineStr"/>
      <c r="P45" s="59" t="inlineStr"/>
      <c r="Q45" s="75" t="inlineStr">
        <is>
          <t>Finalizat</t>
        </is>
      </c>
      <c r="R45" s="76" t="inlineStr"/>
      <c r="S45" s="76" t="inlineStr"/>
      <c r="T45" s="59" t="inlineStr"/>
      <c r="U45" s="75" t="inlineStr">
        <is>
          <t>Finalizat</t>
        </is>
      </c>
      <c r="V45" s="76" t="inlineStr"/>
      <c r="W45" s="76" t="inlineStr"/>
      <c r="X45" s="59" t="inlineStr"/>
      <c r="Y45" s="75" t="inlineStr">
        <is>
          <t>Finalizat</t>
        </is>
      </c>
      <c r="Z45" s="76" t="inlineStr"/>
      <c r="AA45" s="76" t="inlineStr"/>
      <c r="AB45" s="59" t="inlineStr">
        <is>
          <t>OK</t>
        </is>
      </c>
      <c r="AC45" s="136" t="n"/>
    </row>
    <row r="46" ht="18" customHeight="1">
      <c r="A46" s="67" t="inlineStr">
        <is>
          <t>WP1000-10</t>
        </is>
      </c>
      <c r="B46" s="68" t="n">
        <v>5</v>
      </c>
      <c r="C46" s="69" t="inlineStr">
        <is>
          <t>Reactor superior</t>
        </is>
      </c>
      <c r="D46" s="70" t="inlineStr">
        <is>
          <t>🔴</t>
        </is>
      </c>
      <c r="E46" s="155">
        <f>IF(G46="DA","⛔ BLOCAT",IF(H46="DA","⚠ INTARZIAT",IF(COUNTIF(I46,"În coadă")+COUNTIF(M46,"În coadă")+COUNTIF(Q46,"În coadă")+COUNTIF(U46,"În coadă")+COUNTIF(Y46,"În coadă")&gt;0,"🔵 ÎN COADĂ",IF(F46=1,"✅ FINALIZAT",IF(F46&gt;0,"🔄 IN LUCRU","○ NEINCEPUT")))))</f>
        <v/>
      </c>
      <c r="F46" s="72">
        <f>IFERROR((COUNTIF(I46,"Finalizat")+COUNTIF(M46,"Finalizat")+COUNTIF(Q46,"Finalizat")+COUNTIF(U46,"Finalizat")+COUNTIF(Y46,"Finalizat"))/(5-COUNTIF(I46,"N/A")-COUNTIF(M46,"N/A")-COUNTIF(Q46,"N/A")-COUNTIF(U46,"N/A")-COUNTIF(Y46,"N/A")),0)</f>
        <v/>
      </c>
      <c r="G46" s="73">
        <f>IF(COUNTIF(I46,"Blocat")+COUNTIF(M46,"Blocat")+COUNTIF(Q46,"Blocat")+COUNTIF(U46,"Blocat")+COUNTIF(Y46,"Blocat")&gt;0,"DA","")</f>
        <v/>
      </c>
      <c r="H46" s="74">
        <f>IF(COUNTIF(I46,"Întârziat")+COUNTIF(M46,"Întârziat")+COUNTIF(Q46,"Întârziat")+COUNTIF(U46,"Întârziat")+COUNTIF(Y46,"Întârziat")&gt;0,"DA","")</f>
        <v/>
      </c>
      <c r="I46" s="75" t="inlineStr">
        <is>
          <t>Finalizat</t>
        </is>
      </c>
      <c r="J46" s="76" t="inlineStr"/>
      <c r="K46" s="76" t="inlineStr"/>
      <c r="L46" s="59" t="inlineStr"/>
      <c r="M46" s="75" t="inlineStr">
        <is>
          <t>Finalizat</t>
        </is>
      </c>
      <c r="N46" s="76" t="inlineStr"/>
      <c r="O46" s="76" t="inlineStr"/>
      <c r="P46" s="59" t="inlineStr"/>
      <c r="Q46" s="75" t="inlineStr">
        <is>
          <t>Finalizat</t>
        </is>
      </c>
      <c r="R46" s="76" t="inlineStr"/>
      <c r="S46" s="76" t="inlineStr"/>
      <c r="T46" s="59" t="inlineStr"/>
      <c r="U46" s="75" t="inlineStr">
        <is>
          <t>Finalizat</t>
        </is>
      </c>
      <c r="V46" s="76" t="inlineStr"/>
      <c r="W46" s="76" t="inlineStr"/>
      <c r="X46" s="59" t="inlineStr"/>
      <c r="Y46" s="75" t="inlineStr">
        <is>
          <t>Finalizat</t>
        </is>
      </c>
      <c r="Z46" s="76" t="inlineStr"/>
      <c r="AA46" s="76" t="inlineStr"/>
      <c r="AB46" s="59" t="inlineStr">
        <is>
          <t>OK</t>
        </is>
      </c>
      <c r="AC46" s="136" t="n"/>
    </row>
    <row r="47" ht="18" customHeight="1">
      <c r="A47" s="67" t="inlineStr">
        <is>
          <t>WP1000-10</t>
        </is>
      </c>
      <c r="B47" s="68" t="n">
        <v>6</v>
      </c>
      <c r="C47" s="69" t="inlineStr">
        <is>
          <t>Reactor inferior</t>
        </is>
      </c>
      <c r="D47" s="70" t="inlineStr">
        <is>
          <t>🔴</t>
        </is>
      </c>
      <c r="E47" s="155">
        <f>IF(G47="DA","⛔ BLOCAT",IF(H47="DA","⚠ INTARZIAT",IF(COUNTIF(I47,"În coadă")+COUNTIF(M47,"În coadă")+COUNTIF(Q47,"În coadă")+COUNTIF(U47,"În coadă")+COUNTIF(Y47,"În coadă")&gt;0,"🔵 ÎN COADĂ",IF(F47=1,"✅ FINALIZAT",IF(F47&gt;0,"🔄 IN LUCRU","○ NEINCEPUT")))))</f>
        <v/>
      </c>
      <c r="F47" s="72">
        <f>IFERROR((COUNTIF(I47,"Finalizat")+COUNTIF(M47,"Finalizat")+COUNTIF(Q47,"Finalizat")+COUNTIF(U47,"Finalizat")+COUNTIF(Y47,"Finalizat"))/(5-COUNTIF(I47,"N/A")-COUNTIF(M47,"N/A")-COUNTIF(Q47,"N/A")-COUNTIF(U47,"N/A")-COUNTIF(Y47,"N/A")),0)</f>
        <v/>
      </c>
      <c r="G47" s="73">
        <f>IF(COUNTIF(I47,"Blocat")+COUNTIF(M47,"Blocat")+COUNTIF(Q47,"Blocat")+COUNTIF(U47,"Blocat")+COUNTIF(Y47,"Blocat")&gt;0,"DA","")</f>
        <v/>
      </c>
      <c r="H47" s="74">
        <f>IF(COUNTIF(I47,"Întârziat")+COUNTIF(M47,"Întârziat")+COUNTIF(Q47,"Întârziat")+COUNTIF(U47,"Întârziat")+COUNTIF(Y47,"Întârziat")&gt;0,"DA","")</f>
        <v/>
      </c>
      <c r="I47" s="75" t="inlineStr">
        <is>
          <t>Finalizat</t>
        </is>
      </c>
      <c r="J47" s="76" t="inlineStr"/>
      <c r="K47" s="76" t="inlineStr"/>
      <c r="L47" s="59" t="inlineStr"/>
      <c r="M47" s="75" t="inlineStr">
        <is>
          <t>Finalizat</t>
        </is>
      </c>
      <c r="N47" s="76" t="inlineStr"/>
      <c r="O47" s="76" t="inlineStr"/>
      <c r="P47" s="59" t="inlineStr"/>
      <c r="Q47" s="75" t="inlineStr">
        <is>
          <t>Finalizat</t>
        </is>
      </c>
      <c r="R47" s="76" t="inlineStr"/>
      <c r="S47" s="76" t="inlineStr"/>
      <c r="T47" s="59" t="inlineStr"/>
      <c r="U47" s="75" t="inlineStr">
        <is>
          <t>Finalizat</t>
        </is>
      </c>
      <c r="V47" s="76" t="inlineStr"/>
      <c r="W47" s="76" t="inlineStr"/>
      <c r="X47" s="59" t="inlineStr"/>
      <c r="Y47" s="75" t="inlineStr">
        <is>
          <t>Finalizat</t>
        </is>
      </c>
      <c r="Z47" s="76" t="inlineStr"/>
      <c r="AA47" s="76" t="inlineStr"/>
      <c r="AB47" s="59" t="inlineStr">
        <is>
          <t>OK</t>
        </is>
      </c>
      <c r="AC47" s="136" t="n"/>
    </row>
    <row r="48" ht="18" customHeight="1">
      <c r="A48" s="67" t="inlineStr">
        <is>
          <t>WP1000-10</t>
        </is>
      </c>
      <c r="B48" s="68" t="n">
        <v>7</v>
      </c>
      <c r="C48" s="69" t="inlineStr">
        <is>
          <t>Suport reactor inferior</t>
        </is>
      </c>
      <c r="D48" s="70" t="inlineStr">
        <is>
          <t>🔴</t>
        </is>
      </c>
      <c r="E48" s="155">
        <f>IF(G48="DA","⛔ BLOCAT",IF(H48="DA","⚠ INTARZIAT",IF(COUNTIF(I48,"În coadă")+COUNTIF(M48,"În coadă")+COUNTIF(Q48,"În coadă")+COUNTIF(U48,"În coadă")+COUNTIF(Y48,"În coadă")&gt;0,"🔵 ÎN COADĂ",IF(F48=1,"✅ FINALIZAT",IF(F48&gt;0,"🔄 IN LUCRU","○ NEINCEPUT")))))</f>
        <v/>
      </c>
      <c r="F48" s="72">
        <f>IFERROR((COUNTIF(I48,"Finalizat")+COUNTIF(M48,"Finalizat")+COUNTIF(Q48,"Finalizat")+COUNTIF(U48,"Finalizat")+COUNTIF(Y48,"Finalizat"))/(5-COUNTIF(I48,"N/A")-COUNTIF(M48,"N/A")-COUNTIF(Q48,"N/A")-COUNTIF(U48,"N/A")-COUNTIF(Y48,"N/A")),0)</f>
        <v/>
      </c>
      <c r="G48" s="73">
        <f>IF(COUNTIF(I48,"Blocat")+COUNTIF(M48,"Blocat")+COUNTIF(Q48,"Blocat")+COUNTIF(U48,"Blocat")+COUNTIF(Y48,"Blocat")&gt;0,"DA","")</f>
        <v/>
      </c>
      <c r="H48" s="74">
        <f>IF(COUNTIF(I48,"Întârziat")+COUNTIF(M48,"Întârziat")+COUNTIF(Q48,"Întârziat")+COUNTIF(U48,"Întârziat")+COUNTIF(Y48,"Întârziat")&gt;0,"DA","")</f>
        <v/>
      </c>
      <c r="I48" s="75" t="inlineStr">
        <is>
          <t>Finalizat</t>
        </is>
      </c>
      <c r="J48" s="76" t="inlineStr"/>
      <c r="K48" s="76" t="inlineStr"/>
      <c r="L48" s="59" t="inlineStr"/>
      <c r="M48" s="77" t="inlineStr">
        <is>
          <t>N/A</t>
        </is>
      </c>
      <c r="N48" s="76" t="inlineStr"/>
      <c r="O48" s="76" t="inlineStr"/>
      <c r="P48" s="59" t="inlineStr"/>
      <c r="Q48" s="75" t="inlineStr">
        <is>
          <t>Finalizat</t>
        </is>
      </c>
      <c r="R48" s="76" t="inlineStr"/>
      <c r="S48" s="76" t="inlineStr"/>
      <c r="T48" s="59" t="inlineStr"/>
      <c r="U48" s="75" t="inlineStr">
        <is>
          <t>Finalizat</t>
        </is>
      </c>
      <c r="V48" s="76" t="inlineStr"/>
      <c r="W48" s="76" t="inlineStr"/>
      <c r="X48" s="59" t="inlineStr"/>
      <c r="Y48" s="75" t="inlineStr">
        <is>
          <t>Finalizat</t>
        </is>
      </c>
      <c r="Z48" s="76" t="inlineStr"/>
      <c r="AA48" s="76" t="inlineStr"/>
      <c r="AB48" s="59" t="inlineStr">
        <is>
          <t>OK</t>
        </is>
      </c>
      <c r="AC48" s="136" t="n"/>
    </row>
    <row r="49" ht="18" customHeight="1">
      <c r="A49" s="67" t="inlineStr">
        <is>
          <t>WP1000-10</t>
        </is>
      </c>
      <c r="B49" s="68" t="n">
        <v>8</v>
      </c>
      <c r="C49" s="69" t="inlineStr">
        <is>
          <t>Filtru Gudroane</t>
        </is>
      </c>
      <c r="D49" s="70" t="inlineStr">
        <is>
          <t>🔴</t>
        </is>
      </c>
      <c r="E49" s="155">
        <f>IF(G49="DA","⛔ BLOCAT",IF(H49="DA","⚠ INTARZIAT",IF(COUNTIF(I49,"În coadă")+COUNTIF(M49,"În coadă")+COUNTIF(Q49,"În coadă")+COUNTIF(U49,"În coadă")+COUNTIF(Y49,"În coadă")&gt;0,"🔵 ÎN COADĂ",IF(F49=1,"✅ FINALIZAT",IF(F49&gt;0,"🔄 IN LUCRU","○ NEINCEPUT")))))</f>
        <v/>
      </c>
      <c r="F49" s="72">
        <f>IFERROR((COUNTIF(I49,"Finalizat")+COUNTIF(M49,"Finalizat")+COUNTIF(Q49,"Finalizat")+COUNTIF(U49,"Finalizat")+COUNTIF(Y49,"Finalizat"))/(5-COUNTIF(I49,"N/A")-COUNTIF(M49,"N/A")-COUNTIF(Q49,"N/A")-COUNTIF(U49,"N/A")-COUNTIF(Y49,"N/A")),0)</f>
        <v/>
      </c>
      <c r="G49" s="73">
        <f>IF(COUNTIF(I49,"Blocat")+COUNTIF(M49,"Blocat")+COUNTIF(Q49,"Blocat")+COUNTIF(U49,"Blocat")+COUNTIF(Y49,"Blocat")&gt;0,"DA","")</f>
        <v/>
      </c>
      <c r="H49" s="74">
        <f>IF(COUNTIF(I49,"Întârziat")+COUNTIF(M49,"Întârziat")+COUNTIF(Q49,"Întârziat")+COUNTIF(U49,"Întârziat")+COUNTIF(Y49,"Întârziat")&gt;0,"DA","")</f>
        <v/>
      </c>
      <c r="I49" s="75" t="inlineStr">
        <is>
          <t>Finalizat</t>
        </is>
      </c>
      <c r="J49" s="76" t="inlineStr"/>
      <c r="K49" s="76" t="inlineStr"/>
      <c r="L49" s="59" t="inlineStr"/>
      <c r="M49" s="75" t="inlineStr">
        <is>
          <t>Finalizat</t>
        </is>
      </c>
      <c r="N49" s="76" t="inlineStr"/>
      <c r="O49" s="76" t="inlineStr"/>
      <c r="P49" s="59" t="inlineStr"/>
      <c r="Q49" s="75" t="inlineStr">
        <is>
          <t>Finalizat</t>
        </is>
      </c>
      <c r="R49" s="76" t="inlineStr"/>
      <c r="S49" s="76" t="inlineStr"/>
      <c r="T49" s="59" t="inlineStr"/>
      <c r="U49" s="75" t="inlineStr">
        <is>
          <t>Finalizat</t>
        </is>
      </c>
      <c r="V49" s="76" t="inlineStr"/>
      <c r="W49" s="76" t="inlineStr"/>
      <c r="X49" s="59" t="inlineStr"/>
      <c r="Y49" s="75" t="inlineStr">
        <is>
          <t>Finalizat</t>
        </is>
      </c>
      <c r="Z49" s="76" t="inlineStr"/>
      <c r="AA49" s="76" t="inlineStr"/>
      <c r="AB49" s="59" t="inlineStr">
        <is>
          <t>OK</t>
        </is>
      </c>
      <c r="AC49" s="136" t="n"/>
    </row>
    <row r="50" ht="18" customHeight="1">
      <c r="A50" s="67" t="inlineStr">
        <is>
          <t>WP1000-10</t>
        </is>
      </c>
      <c r="B50" s="68" t="n">
        <v>9</v>
      </c>
      <c r="C50" s="69" t="inlineStr">
        <is>
          <t>Ventori scrubber</t>
        </is>
      </c>
      <c r="D50" s="70" t="inlineStr">
        <is>
          <t>🔴</t>
        </is>
      </c>
      <c r="E50" s="155">
        <f>IF(G50="DA","⛔ BLOCAT",IF(H50="DA","⚠ INTARZIAT",IF(COUNTIF(I50,"În coadă")+COUNTIF(M50,"În coadă")+COUNTIF(Q50,"În coadă")+COUNTIF(U50,"În coadă")+COUNTIF(Y50,"În coadă")&gt;0,"🔵 ÎN COADĂ",IF(F50=1,"✅ FINALIZAT",IF(F50&gt;0,"🔄 IN LUCRU","○ NEINCEPUT")))))</f>
        <v/>
      </c>
      <c r="F50" s="72">
        <f>IFERROR((COUNTIF(I50,"Finalizat")+COUNTIF(M50,"Finalizat")+COUNTIF(Q50,"Finalizat")+COUNTIF(U50,"Finalizat")+COUNTIF(Y50,"Finalizat"))/(5-COUNTIF(I50,"N/A")-COUNTIF(M50,"N/A")-COUNTIF(Q50,"N/A")-COUNTIF(U50,"N/A")-COUNTIF(Y50,"N/A")),0)</f>
        <v/>
      </c>
      <c r="G50" s="73">
        <f>IF(COUNTIF(I50,"Blocat")+COUNTIF(M50,"Blocat")+COUNTIF(Q50,"Blocat")+COUNTIF(U50,"Blocat")+COUNTIF(Y50,"Blocat")&gt;0,"DA","")</f>
        <v/>
      </c>
      <c r="H50" s="74">
        <f>IF(COUNTIF(I50,"Întârziat")+COUNTIF(M50,"Întârziat")+COUNTIF(Q50,"Întârziat")+COUNTIF(U50,"Întârziat")+COUNTIF(Y50,"Întârziat")&gt;0,"DA","")</f>
        <v/>
      </c>
      <c r="I50" s="75" t="inlineStr">
        <is>
          <t>Finalizat</t>
        </is>
      </c>
      <c r="J50" s="76" t="inlineStr"/>
      <c r="K50" s="76" t="inlineStr"/>
      <c r="L50" s="59" t="inlineStr"/>
      <c r="M50" s="77" t="inlineStr">
        <is>
          <t>N/A</t>
        </is>
      </c>
      <c r="N50" s="76" t="inlineStr"/>
      <c r="O50" s="76" t="inlineStr"/>
      <c r="P50" s="59" t="inlineStr"/>
      <c r="Q50" s="51" t="inlineStr">
        <is>
          <t>Blocat</t>
        </is>
      </c>
      <c r="R50" s="76" t="inlineStr"/>
      <c r="S50" s="76" t="inlineStr"/>
      <c r="T50" s="59" t="inlineStr"/>
      <c r="U50" s="83" t="inlineStr">
        <is>
          <t>Neînceput</t>
        </is>
      </c>
      <c r="V50" s="76" t="inlineStr"/>
      <c r="W50" s="76" t="inlineStr"/>
      <c r="X50" s="59" t="inlineStr"/>
      <c r="Y50" s="83" t="inlineStr">
        <is>
          <t>Neînceput</t>
        </is>
      </c>
      <c r="Z50" s="76" t="inlineStr"/>
      <c r="AA50" s="76" t="inlineStr"/>
      <c r="AB50" s="59" t="inlineStr">
        <is>
          <t>BLOCAT – discutie tehnica necesara</t>
        </is>
      </c>
      <c r="AC50" s="156" t="inlineStr">
        <is>
          <t>Dupa: Reactor superior (SA#5)</t>
        </is>
      </c>
    </row>
    <row r="51" ht="18" customHeight="1">
      <c r="A51" s="67" t="inlineStr">
        <is>
          <t>WP1000-10</t>
        </is>
      </c>
      <c r="B51" s="68" t="n">
        <v>10</v>
      </c>
      <c r="C51" s="69" t="inlineStr">
        <is>
          <t>Rezervor metalic (racitor)</t>
        </is>
      </c>
      <c r="D51" s="70" t="inlineStr">
        <is>
          <t>🔴</t>
        </is>
      </c>
      <c r="E51" s="155">
        <f>IF(G51="DA","⛔ BLOCAT",IF(H51="DA","⚠ INTARZIAT",IF(COUNTIF(I51,"În coadă")+COUNTIF(M51,"În coadă")+COUNTIF(Q51,"În coadă")+COUNTIF(U51,"În coadă")+COUNTIF(Y51,"În coadă")&gt;0,"🔵 ÎN COADĂ",IF(F51=1,"✅ FINALIZAT",IF(F51&gt;0,"🔄 IN LUCRU","○ NEINCEPUT")))))</f>
        <v/>
      </c>
      <c r="F51" s="72">
        <f>IFERROR((COUNTIF(I51,"Finalizat")+COUNTIF(M51,"Finalizat")+COUNTIF(Q51,"Finalizat")+COUNTIF(U51,"Finalizat")+COUNTIF(Y51,"Finalizat"))/(5-COUNTIF(I51,"N/A")-COUNTIF(M51,"N/A")-COUNTIF(Q51,"N/A")-COUNTIF(U51,"N/A")-COUNTIF(Y51,"N/A")),0)</f>
        <v/>
      </c>
      <c r="G51" s="73">
        <f>IF(COUNTIF(I51,"Blocat")+COUNTIF(M51,"Blocat")+COUNTIF(Q51,"Blocat")+COUNTIF(U51,"Blocat")+COUNTIF(Y51,"Blocat")&gt;0,"DA","")</f>
        <v/>
      </c>
      <c r="H51" s="74">
        <f>IF(COUNTIF(I51,"Întârziat")+COUNTIF(M51,"Întârziat")+COUNTIF(Q51,"Întârziat")+COUNTIF(U51,"Întârziat")+COUNTIF(Y51,"Întârziat")&gt;0,"DA","")</f>
        <v/>
      </c>
      <c r="I51" s="75" t="inlineStr">
        <is>
          <t>Finalizat</t>
        </is>
      </c>
      <c r="J51" s="76" t="inlineStr"/>
      <c r="K51" s="76" t="inlineStr"/>
      <c r="L51" s="59" t="inlineStr"/>
      <c r="M51" s="75" t="inlineStr">
        <is>
          <t>Finalizat</t>
        </is>
      </c>
      <c r="N51" s="76" t="inlineStr"/>
      <c r="O51" s="76" t="inlineStr"/>
      <c r="P51" s="59" t="inlineStr"/>
      <c r="Q51" s="75" t="inlineStr">
        <is>
          <t>Finalizat</t>
        </is>
      </c>
      <c r="R51" s="76" t="inlineStr"/>
      <c r="S51" s="76" t="inlineStr"/>
      <c r="T51" s="59" t="inlineStr"/>
      <c r="U51" s="51" t="inlineStr">
        <is>
          <t>Blocat</t>
        </is>
      </c>
      <c r="V51" s="76" t="inlineStr"/>
      <c r="W51" s="76" t="inlineStr"/>
      <c r="X51" s="59" t="inlineStr"/>
      <c r="Y51" s="83" t="inlineStr">
        <is>
          <t>Neînceput</t>
        </is>
      </c>
      <c r="Z51" s="76" t="inlineStr"/>
      <c r="AA51" s="76" t="inlineStr"/>
      <c r="AB51" s="59" t="inlineStr">
        <is>
          <t>LIPSA componente – asteptam aprovizionare</t>
        </is>
      </c>
      <c r="AC51" s="156" t="inlineStr">
        <is>
          <t>Dupa: Structura metalica (SA#1)</t>
        </is>
      </c>
    </row>
    <row r="52" ht="18" customHeight="1">
      <c r="A52" s="67" t="inlineStr">
        <is>
          <t>WP1000-10</t>
        </is>
      </c>
      <c r="B52" s="68" t="n">
        <v>11</v>
      </c>
      <c r="C52" s="69" t="inlineStr">
        <is>
          <t>Barbutoare</t>
        </is>
      </c>
      <c r="D52" s="70" t="inlineStr">
        <is>
          <t>🔴</t>
        </is>
      </c>
      <c r="E52" s="155">
        <f>IF(G52="DA","⛔ BLOCAT",IF(H52="DA","⚠ INTARZIAT",IF(COUNTIF(I52,"În coadă")+COUNTIF(M52,"În coadă")+COUNTIF(Q52,"În coadă")+COUNTIF(U52,"În coadă")+COUNTIF(Y52,"În coadă")&gt;0,"🔵 ÎN COADĂ",IF(F52=1,"✅ FINALIZAT",IF(F52&gt;0,"🔄 IN LUCRU","○ NEINCEPUT")))))</f>
        <v/>
      </c>
      <c r="F52" s="72">
        <f>IFERROR((COUNTIF(I52,"Finalizat")+COUNTIF(M52,"Finalizat")+COUNTIF(Q52,"Finalizat")+COUNTIF(U52,"Finalizat")+COUNTIF(Y52,"Finalizat"))/(5-COUNTIF(I52,"N/A")-COUNTIF(M52,"N/A")-COUNTIF(Q52,"N/A")-COUNTIF(U52,"N/A")-COUNTIF(Y52,"N/A")),0)</f>
        <v/>
      </c>
      <c r="G52" s="73">
        <f>IF(COUNTIF(I52,"Blocat")+COUNTIF(M52,"Blocat")+COUNTIF(Q52,"Blocat")+COUNTIF(U52,"Blocat")+COUNTIF(Y52,"Blocat")&gt;0,"DA","")</f>
        <v/>
      </c>
      <c r="H52" s="74">
        <f>IF(COUNTIF(I52,"Întârziat")+COUNTIF(M52,"Întârziat")+COUNTIF(Q52,"Întârziat")+COUNTIF(U52,"Întârziat")+COUNTIF(Y52,"Întârziat")&gt;0,"DA","")</f>
        <v/>
      </c>
      <c r="I52" s="75" t="inlineStr">
        <is>
          <t>Finalizat</t>
        </is>
      </c>
      <c r="J52" s="76" t="inlineStr"/>
      <c r="K52" s="76" t="inlineStr"/>
      <c r="L52" s="59" t="inlineStr"/>
      <c r="M52" s="77" t="inlineStr">
        <is>
          <t>N/A</t>
        </is>
      </c>
      <c r="N52" s="76" t="inlineStr"/>
      <c r="O52" s="76" t="inlineStr"/>
      <c r="P52" s="59" t="inlineStr"/>
      <c r="Q52" s="75" t="inlineStr">
        <is>
          <t>Finalizat</t>
        </is>
      </c>
      <c r="R52" s="76" t="inlineStr"/>
      <c r="S52" s="76" t="inlineStr"/>
      <c r="T52" s="59" t="inlineStr"/>
      <c r="U52" s="75" t="inlineStr">
        <is>
          <t>Finalizat</t>
        </is>
      </c>
      <c r="V52" s="76" t="inlineStr"/>
      <c r="W52" s="76" t="inlineStr"/>
      <c r="X52" s="59" t="inlineStr"/>
      <c r="Y52" s="82" t="inlineStr">
        <is>
          <t>În lucru</t>
        </is>
      </c>
      <c r="Z52" s="76" t="inlineStr"/>
      <c r="AA52" s="76" t="inlineStr"/>
      <c r="AB52" s="59" t="inlineStr">
        <is>
          <t>OK – la vopsit</t>
        </is>
      </c>
      <c r="AC52" s="136" t="n"/>
    </row>
    <row r="53" ht="18" customHeight="1">
      <c r="A53" s="67" t="inlineStr">
        <is>
          <t>WP1000-10</t>
        </is>
      </c>
      <c r="B53" s="68" t="n">
        <v>12</v>
      </c>
      <c r="C53" s="69" t="inlineStr">
        <is>
          <t>Filtre</t>
        </is>
      </c>
      <c r="D53" s="70" t="inlineStr">
        <is>
          <t>🔴</t>
        </is>
      </c>
      <c r="E53" s="155">
        <f>IF(G53="DA","⛔ BLOCAT",IF(H53="DA","⚠ INTARZIAT",IF(COUNTIF(I53,"În coadă")+COUNTIF(M53,"În coadă")+COUNTIF(Q53,"În coadă")+COUNTIF(U53,"În coadă")+COUNTIF(Y53,"În coadă")&gt;0,"🔵 ÎN COADĂ",IF(F53=1,"✅ FINALIZAT",IF(F53&gt;0,"🔄 IN LUCRU","○ NEINCEPUT")))))</f>
        <v/>
      </c>
      <c r="F53" s="72">
        <f>IFERROR((COUNTIF(I53,"Finalizat")+COUNTIF(M53,"Finalizat")+COUNTIF(Q53,"Finalizat")+COUNTIF(U53,"Finalizat")+COUNTIF(Y53,"Finalizat"))/(5-COUNTIF(I53,"N/A")-COUNTIF(M53,"N/A")-COUNTIF(Q53,"N/A")-COUNTIF(U53,"N/A")-COUNTIF(Y53,"N/A")),0)</f>
        <v/>
      </c>
      <c r="G53" s="73">
        <f>IF(COUNTIF(I53,"Blocat")+COUNTIF(M53,"Blocat")+COUNTIF(Q53,"Blocat")+COUNTIF(U53,"Blocat")+COUNTIF(Y53,"Blocat")&gt;0,"DA","")</f>
        <v/>
      </c>
      <c r="H53" s="74">
        <f>IF(COUNTIF(I53,"Întârziat")+COUNTIF(M53,"Întârziat")+COUNTIF(Q53,"Întârziat")+COUNTIF(U53,"Întârziat")+COUNTIF(Y53,"Întârziat")&gt;0,"DA","")</f>
        <v/>
      </c>
      <c r="I53" s="75" t="inlineStr">
        <is>
          <t>Finalizat</t>
        </is>
      </c>
      <c r="J53" s="76" t="inlineStr"/>
      <c r="K53" s="76" t="inlineStr"/>
      <c r="L53" s="59" t="inlineStr"/>
      <c r="M53" s="77" t="inlineStr">
        <is>
          <t>N/A</t>
        </is>
      </c>
      <c r="N53" s="76" t="inlineStr"/>
      <c r="O53" s="76" t="inlineStr"/>
      <c r="P53" s="59" t="inlineStr"/>
      <c r="Q53" s="75" t="inlineStr">
        <is>
          <t>Finalizat</t>
        </is>
      </c>
      <c r="R53" s="76" t="inlineStr"/>
      <c r="S53" s="76" t="inlineStr"/>
      <c r="T53" s="59" t="inlineStr"/>
      <c r="U53" s="75" t="inlineStr">
        <is>
          <t>Finalizat</t>
        </is>
      </c>
      <c r="V53" s="76" t="inlineStr"/>
      <c r="W53" s="76" t="inlineStr"/>
      <c r="X53" s="59" t="inlineStr"/>
      <c r="Y53" s="82" t="inlineStr">
        <is>
          <t>În lucru</t>
        </is>
      </c>
      <c r="Z53" s="76" t="inlineStr"/>
      <c r="AA53" s="76" t="inlineStr"/>
      <c r="AB53" s="59" t="inlineStr">
        <is>
          <t>OK – la vopsit</t>
        </is>
      </c>
      <c r="AC53" s="136" t="n"/>
    </row>
    <row r="54" ht="18" customHeight="1">
      <c r="A54" s="67" t="inlineStr">
        <is>
          <t>WP1000-10</t>
        </is>
      </c>
      <c r="B54" s="68" t="n">
        <v>13</v>
      </c>
      <c r="C54" s="69" t="inlineStr">
        <is>
          <t>Sistem de tevi</t>
        </is>
      </c>
      <c r="D54" s="70" t="inlineStr">
        <is>
          <t>🔴</t>
        </is>
      </c>
      <c r="E54" s="155">
        <f>IF(G54="DA","⛔ BLOCAT",IF(H54="DA","⚠ INTARZIAT",IF(COUNTIF(I54,"În coadă")+COUNTIF(M54,"În coadă")+COUNTIF(Q54,"În coadă")+COUNTIF(U54,"În coadă")+COUNTIF(Y54,"În coadă")&gt;0,"🔵 ÎN COADĂ",IF(F54=1,"✅ FINALIZAT",IF(F54&gt;0,"🔄 IN LUCRU","○ NEINCEPUT")))))</f>
        <v/>
      </c>
      <c r="F54" s="72">
        <f>IFERROR((COUNTIF(I54,"Finalizat")+COUNTIF(M54,"Finalizat")+COUNTIF(Q54,"Finalizat")+COUNTIF(U54,"Finalizat")+COUNTIF(Y54,"Finalizat"))/(5-COUNTIF(I54,"N/A")-COUNTIF(M54,"N/A")-COUNTIF(Q54,"N/A")-COUNTIF(U54,"N/A")-COUNTIF(Y54,"N/A")),0)</f>
        <v/>
      </c>
      <c r="G54" s="73">
        <f>IF(COUNTIF(I54,"Blocat")+COUNTIF(M54,"Blocat")+COUNTIF(Q54,"Blocat")+COUNTIF(U54,"Blocat")+COUNTIF(Y54,"Blocat")&gt;0,"DA","")</f>
        <v/>
      </c>
      <c r="H54" s="74">
        <f>IF(COUNTIF(I54,"Întârziat")+COUNTIF(M54,"Întârziat")+COUNTIF(Q54,"Întârziat")+COUNTIF(U54,"Întârziat")+COUNTIF(Y54,"Întârziat")&gt;0,"DA","")</f>
        <v/>
      </c>
      <c r="I54" s="75" t="inlineStr">
        <is>
          <t>Finalizat</t>
        </is>
      </c>
      <c r="J54" s="76" t="inlineStr"/>
      <c r="K54" s="76" t="inlineStr"/>
      <c r="L54" s="59" t="inlineStr"/>
      <c r="M54" s="77" t="inlineStr">
        <is>
          <t>N/A</t>
        </is>
      </c>
      <c r="N54" s="76" t="inlineStr"/>
      <c r="O54" s="76" t="inlineStr"/>
      <c r="P54" s="59" t="inlineStr"/>
      <c r="Q54" s="75" t="inlineStr">
        <is>
          <t>Finalizat</t>
        </is>
      </c>
      <c r="R54" s="76" t="inlineStr"/>
      <c r="S54" s="76" t="inlineStr"/>
      <c r="T54" s="59" t="inlineStr"/>
      <c r="U54" s="51" t="inlineStr">
        <is>
          <t>Blocat</t>
        </is>
      </c>
      <c r="V54" s="76" t="inlineStr"/>
      <c r="W54" s="76" t="inlineStr"/>
      <c r="X54" s="59" t="inlineStr"/>
      <c r="Y54" s="77" t="inlineStr">
        <is>
          <t>N/A</t>
        </is>
      </c>
      <c r="Z54" s="76" t="inlineStr"/>
      <c r="AA54" s="76" t="inlineStr"/>
      <c r="AB54" s="59" t="inlineStr">
        <is>
          <t>BLOCAT – lipsa teava pompa de vid</t>
        </is>
      </c>
      <c r="AC54" s="136" t="n"/>
    </row>
    <row r="55" ht="18" customHeight="1">
      <c r="A55" s="67" t="inlineStr">
        <is>
          <t>WP1000-10</t>
        </is>
      </c>
      <c r="B55" s="68" t="n">
        <v>14</v>
      </c>
      <c r="C55" s="69" t="inlineStr">
        <is>
          <t>Snec reactor superior</t>
        </is>
      </c>
      <c r="D55" s="70" t="inlineStr">
        <is>
          <t>🔴</t>
        </is>
      </c>
      <c r="E55" s="155">
        <f>IF(G55="DA","⛔ BLOCAT",IF(H55="DA","⚠ INTARZIAT",IF(COUNTIF(I55,"În coadă")+COUNTIF(M55,"În coadă")+COUNTIF(Q55,"În coadă")+COUNTIF(U55,"În coadă")+COUNTIF(Y55,"În coadă")&gt;0,"🔵 ÎN COADĂ",IF(F55=1,"✅ FINALIZAT",IF(F55&gt;0,"🔄 IN LUCRU","○ NEINCEPUT")))))</f>
        <v/>
      </c>
      <c r="F55" s="72">
        <f>IFERROR((COUNTIF(I55,"Finalizat")+COUNTIF(M55,"Finalizat")+COUNTIF(Q55,"Finalizat")+COUNTIF(U55,"Finalizat")+COUNTIF(Y55,"Finalizat"))/(5-COUNTIF(I55,"N/A")-COUNTIF(M55,"N/A")-COUNTIF(Q55,"N/A")-COUNTIF(U55,"N/A")-COUNTIF(Y55,"N/A")),0)</f>
        <v/>
      </c>
      <c r="G55" s="73">
        <f>IF(COUNTIF(I55,"Blocat")+COUNTIF(M55,"Blocat")+COUNTIF(Q55,"Blocat")+COUNTIF(U55,"Blocat")+COUNTIF(Y55,"Blocat")&gt;0,"DA","")</f>
        <v/>
      </c>
      <c r="H55" s="74">
        <f>IF(COUNTIF(I55,"Întârziat")+COUNTIF(M55,"Întârziat")+COUNTIF(Q55,"Întârziat")+COUNTIF(U55,"Întârziat")+COUNTIF(Y55,"Întârziat")&gt;0,"DA","")</f>
        <v/>
      </c>
      <c r="I55" s="75" t="inlineStr">
        <is>
          <t>Finalizat</t>
        </is>
      </c>
      <c r="J55" s="76" t="inlineStr"/>
      <c r="K55" s="76" t="inlineStr"/>
      <c r="L55" s="59" t="inlineStr"/>
      <c r="M55" s="77" t="inlineStr">
        <is>
          <t>N/A</t>
        </is>
      </c>
      <c r="N55" s="76" t="inlineStr"/>
      <c r="O55" s="76" t="inlineStr"/>
      <c r="P55" s="59" t="inlineStr"/>
      <c r="Q55" s="75" t="inlineStr">
        <is>
          <t>Finalizat</t>
        </is>
      </c>
      <c r="R55" s="76" t="inlineStr"/>
      <c r="S55" s="76" t="inlineStr"/>
      <c r="T55" s="59" t="inlineStr"/>
      <c r="U55" s="75" t="inlineStr">
        <is>
          <t>Finalizat</t>
        </is>
      </c>
      <c r="V55" s="76" t="inlineStr"/>
      <c r="W55" s="76" t="inlineStr"/>
      <c r="X55" s="59" t="inlineStr"/>
      <c r="Y55" s="82" t="inlineStr">
        <is>
          <t>În lucru</t>
        </is>
      </c>
      <c r="Z55" s="76" t="inlineStr"/>
      <c r="AA55" s="76" t="inlineStr"/>
      <c r="AB55" s="59" t="inlineStr">
        <is>
          <t>OK – la vopsit</t>
        </is>
      </c>
      <c r="AC55" s="136" t="n"/>
    </row>
    <row r="56" ht="18" customHeight="1">
      <c r="A56" s="67" t="inlineStr">
        <is>
          <t>WP1000-10</t>
        </is>
      </c>
      <c r="B56" s="68" t="n">
        <v>15</v>
      </c>
      <c r="C56" s="69" t="inlineStr">
        <is>
          <t>Snec reactor inferior</t>
        </is>
      </c>
      <c r="D56" s="70" t="inlineStr">
        <is>
          <t>🔴</t>
        </is>
      </c>
      <c r="E56" s="155">
        <f>IF(G56="DA","⛔ BLOCAT",IF(H56="DA","⚠ INTARZIAT",IF(COUNTIF(I56,"În coadă")+COUNTIF(M56,"În coadă")+COUNTIF(Q56,"În coadă")+COUNTIF(U56,"În coadă")+COUNTIF(Y56,"În coadă")&gt;0,"🔵 ÎN COADĂ",IF(F56=1,"✅ FINALIZAT",IF(F56&gt;0,"🔄 IN LUCRU","○ NEINCEPUT")))))</f>
        <v/>
      </c>
      <c r="F56" s="72">
        <f>IFERROR((COUNTIF(I56,"Finalizat")+COUNTIF(M56,"Finalizat")+COUNTIF(Q56,"Finalizat")+COUNTIF(U56,"Finalizat")+COUNTIF(Y56,"Finalizat"))/(5-COUNTIF(I56,"N/A")-COUNTIF(M56,"N/A")-COUNTIF(Q56,"N/A")-COUNTIF(U56,"N/A")-COUNTIF(Y56,"N/A")),0)</f>
        <v/>
      </c>
      <c r="G56" s="73">
        <f>IF(COUNTIF(I56,"Blocat")+COUNTIF(M56,"Blocat")+COUNTIF(Q56,"Blocat")+COUNTIF(U56,"Blocat")+COUNTIF(Y56,"Blocat")&gt;0,"DA","")</f>
        <v/>
      </c>
      <c r="H56" s="74">
        <f>IF(COUNTIF(I56,"Întârziat")+COUNTIF(M56,"Întârziat")+COUNTIF(Q56,"Întârziat")+COUNTIF(U56,"Întârziat")+COUNTIF(Y56,"Întârziat")&gt;0,"DA","")</f>
        <v/>
      </c>
      <c r="I56" s="75" t="inlineStr">
        <is>
          <t>Finalizat</t>
        </is>
      </c>
      <c r="J56" s="76" t="inlineStr"/>
      <c r="K56" s="76" t="inlineStr"/>
      <c r="L56" s="59" t="inlineStr"/>
      <c r="M56" s="77" t="inlineStr">
        <is>
          <t>N/A</t>
        </is>
      </c>
      <c r="N56" s="76" t="inlineStr"/>
      <c r="O56" s="76" t="inlineStr"/>
      <c r="P56" s="59" t="inlineStr"/>
      <c r="Q56" s="75" t="inlineStr">
        <is>
          <t>Finalizat</t>
        </is>
      </c>
      <c r="R56" s="76" t="inlineStr"/>
      <c r="S56" s="76" t="inlineStr"/>
      <c r="T56" s="59" t="inlineStr"/>
      <c r="U56" s="75" t="inlineStr">
        <is>
          <t>Finalizat</t>
        </is>
      </c>
      <c r="V56" s="76" t="inlineStr"/>
      <c r="W56" s="76" t="inlineStr"/>
      <c r="X56" s="59" t="inlineStr"/>
      <c r="Y56" s="82" t="inlineStr">
        <is>
          <t>În lucru</t>
        </is>
      </c>
      <c r="Z56" s="76" t="inlineStr"/>
      <c r="AA56" s="76" t="inlineStr"/>
      <c r="AB56" s="59" t="inlineStr">
        <is>
          <t>OK – la vopsit</t>
        </is>
      </c>
      <c r="AC56" s="136" t="n"/>
    </row>
    <row r="57" ht="18" customHeight="1">
      <c r="A57" s="67" t="inlineStr">
        <is>
          <t>WP1000-10</t>
        </is>
      </c>
      <c r="B57" s="68" t="n">
        <v>16</v>
      </c>
      <c r="C57" s="69" t="inlineStr">
        <is>
          <t>Snec compactor intrare</t>
        </is>
      </c>
      <c r="D57" s="70" t="inlineStr">
        <is>
          <t>🔴</t>
        </is>
      </c>
      <c r="E57" s="155">
        <f>IF(G57="DA","⛔ BLOCAT",IF(H57="DA","⚠ INTARZIAT",IF(COUNTIF(I57,"În coadă")+COUNTIF(M57,"În coadă")+COUNTIF(Q57,"În coadă")+COUNTIF(U57,"În coadă")+COUNTIF(Y57,"În coadă")&gt;0,"🔵 ÎN COADĂ",IF(F57=1,"✅ FINALIZAT",IF(F57&gt;0,"🔄 IN LUCRU","○ NEINCEPUT")))))</f>
        <v/>
      </c>
      <c r="F57" s="72">
        <f>IFERROR((COUNTIF(I57,"Finalizat")+COUNTIF(M57,"Finalizat")+COUNTIF(Q57,"Finalizat")+COUNTIF(U57,"Finalizat")+COUNTIF(Y57,"Finalizat"))/(5-COUNTIF(I57,"N/A")-COUNTIF(M57,"N/A")-COUNTIF(Q57,"N/A")-COUNTIF(U57,"N/A")-COUNTIF(Y57,"N/A")),0)</f>
        <v/>
      </c>
      <c r="G57" s="73">
        <f>IF(COUNTIF(I57,"Blocat")+COUNTIF(M57,"Blocat")+COUNTIF(Q57,"Blocat")+COUNTIF(U57,"Blocat")+COUNTIF(Y57,"Blocat")&gt;0,"DA","")</f>
        <v/>
      </c>
      <c r="H57" s="74">
        <f>IF(COUNTIF(I57,"Întârziat")+COUNTIF(M57,"Întârziat")+COUNTIF(Q57,"Întârziat")+COUNTIF(U57,"Întârziat")+COUNTIF(Y57,"Întârziat")&gt;0,"DA","")</f>
        <v/>
      </c>
      <c r="I57" s="75" t="inlineStr">
        <is>
          <t>Finalizat</t>
        </is>
      </c>
      <c r="J57" s="76" t="inlineStr"/>
      <c r="K57" s="76" t="inlineStr"/>
      <c r="L57" s="59" t="inlineStr"/>
      <c r="M57" s="77" t="inlineStr">
        <is>
          <t>N/A</t>
        </is>
      </c>
      <c r="N57" s="76" t="inlineStr"/>
      <c r="O57" s="76" t="inlineStr"/>
      <c r="P57" s="59" t="inlineStr"/>
      <c r="Q57" s="75" t="inlineStr">
        <is>
          <t>Finalizat</t>
        </is>
      </c>
      <c r="R57" s="76" t="inlineStr"/>
      <c r="S57" s="76" t="inlineStr"/>
      <c r="T57" s="59" t="inlineStr"/>
      <c r="U57" s="75" t="inlineStr">
        <is>
          <t>Finalizat</t>
        </is>
      </c>
      <c r="V57" s="76" t="inlineStr"/>
      <c r="W57" s="76" t="inlineStr"/>
      <c r="X57" s="59" t="inlineStr"/>
      <c r="Y57" s="82" t="inlineStr">
        <is>
          <t>În lucru</t>
        </is>
      </c>
      <c r="Z57" s="76" t="inlineStr"/>
      <c r="AA57" s="76" t="inlineStr"/>
      <c r="AB57" s="59" t="inlineStr">
        <is>
          <t>OK – la vopsit</t>
        </is>
      </c>
      <c r="AC57" s="136" t="n"/>
    </row>
    <row r="58" ht="18" customHeight="1">
      <c r="A58" s="67" t="inlineStr">
        <is>
          <t>WP1000-10</t>
        </is>
      </c>
      <c r="B58" s="68" t="n">
        <v>17</v>
      </c>
      <c r="C58" s="69" t="inlineStr">
        <is>
          <t>Snec compactor iesire</t>
        </is>
      </c>
      <c r="D58" s="70" t="inlineStr">
        <is>
          <t>🔴</t>
        </is>
      </c>
      <c r="E58" s="155">
        <f>IF(G58="DA","⛔ BLOCAT",IF(H58="DA","⚠ INTARZIAT",IF(COUNTIF(I58,"În coadă")+COUNTIF(M58,"În coadă")+COUNTIF(Q58,"În coadă")+COUNTIF(U58,"În coadă")+COUNTIF(Y58,"În coadă")&gt;0,"🔵 ÎN COADĂ",IF(F58=1,"✅ FINALIZAT",IF(F58&gt;0,"🔄 IN LUCRU","○ NEINCEPUT")))))</f>
        <v/>
      </c>
      <c r="F58" s="72">
        <f>IFERROR((COUNTIF(I58,"Finalizat")+COUNTIF(M58,"Finalizat")+COUNTIF(Q58,"Finalizat")+COUNTIF(U58,"Finalizat")+COUNTIF(Y58,"Finalizat"))/(5-COUNTIF(I58,"N/A")-COUNTIF(M58,"N/A")-COUNTIF(Q58,"N/A")-COUNTIF(U58,"N/A")-COUNTIF(Y58,"N/A")),0)</f>
        <v/>
      </c>
      <c r="G58" s="73">
        <f>IF(COUNTIF(I58,"Blocat")+COUNTIF(M58,"Blocat")+COUNTIF(Q58,"Blocat")+COUNTIF(U58,"Blocat")+COUNTIF(Y58,"Blocat")&gt;0,"DA","")</f>
        <v/>
      </c>
      <c r="H58" s="74">
        <f>IF(COUNTIF(I58,"Întârziat")+COUNTIF(M58,"Întârziat")+COUNTIF(Q58,"Întârziat")+COUNTIF(U58,"Întârziat")+COUNTIF(Y58,"Întârziat")&gt;0,"DA","")</f>
        <v/>
      </c>
      <c r="I58" s="75" t="inlineStr">
        <is>
          <t>Finalizat</t>
        </is>
      </c>
      <c r="J58" s="76" t="inlineStr"/>
      <c r="K58" s="76" t="inlineStr"/>
      <c r="L58" s="59" t="inlineStr"/>
      <c r="M58" s="77" t="inlineStr">
        <is>
          <t>N/A</t>
        </is>
      </c>
      <c r="N58" s="76" t="inlineStr"/>
      <c r="O58" s="76" t="inlineStr"/>
      <c r="P58" s="59" t="inlineStr"/>
      <c r="Q58" s="75" t="inlineStr">
        <is>
          <t>Finalizat</t>
        </is>
      </c>
      <c r="R58" s="76" t="inlineStr"/>
      <c r="S58" s="76" t="inlineStr"/>
      <c r="T58" s="59" t="inlineStr"/>
      <c r="U58" s="75" t="inlineStr">
        <is>
          <t>Finalizat</t>
        </is>
      </c>
      <c r="V58" s="76" t="inlineStr"/>
      <c r="W58" s="76" t="inlineStr"/>
      <c r="X58" s="59" t="inlineStr"/>
      <c r="Y58" s="82" t="inlineStr">
        <is>
          <t>În lucru</t>
        </is>
      </c>
      <c r="Z58" s="76" t="inlineStr"/>
      <c r="AA58" s="76" t="inlineStr"/>
      <c r="AB58" s="59" t="inlineStr">
        <is>
          <t>OK – la vopsit</t>
        </is>
      </c>
      <c r="AC58" s="136" t="n"/>
    </row>
    <row r="59" ht="18" customHeight="1">
      <c r="A59" s="67" t="inlineStr">
        <is>
          <t>WP1000-10</t>
        </is>
      </c>
      <c r="B59" s="68" t="n">
        <v>18</v>
      </c>
      <c r="C59" s="69" t="inlineStr">
        <is>
          <t>Presetupe</t>
        </is>
      </c>
      <c r="D59" s="70" t="inlineStr">
        <is>
          <t>🔴</t>
        </is>
      </c>
      <c r="E59" s="155">
        <f>IF(G59="DA","⛔ BLOCAT",IF(H59="DA","⚠ INTARZIAT",IF(COUNTIF(I59,"În coadă")+COUNTIF(M59,"În coadă")+COUNTIF(Q59,"În coadă")+COUNTIF(U59,"În coadă")+COUNTIF(Y59,"În coadă")&gt;0,"🔵 ÎN COADĂ",IF(F59=1,"✅ FINALIZAT",IF(F59&gt;0,"🔄 IN LUCRU","○ NEINCEPUT")))))</f>
        <v/>
      </c>
      <c r="F59" s="72">
        <f>IFERROR((COUNTIF(I59,"Finalizat")+COUNTIF(M59,"Finalizat")+COUNTIF(Q59,"Finalizat")+COUNTIF(U59,"Finalizat")+COUNTIF(Y59,"Finalizat"))/(5-COUNTIF(I59,"N/A")-COUNTIF(M59,"N/A")-COUNTIF(Q59,"N/A")-COUNTIF(U59,"N/A")-COUNTIF(Y59,"N/A")),0)</f>
        <v/>
      </c>
      <c r="G59" s="73">
        <f>IF(COUNTIF(I59,"Blocat")+COUNTIF(M59,"Blocat")+COUNTIF(Q59,"Blocat")+COUNTIF(U59,"Blocat")+COUNTIF(Y59,"Blocat")&gt;0,"DA","")</f>
        <v/>
      </c>
      <c r="H59" s="74">
        <f>IF(COUNTIF(I59,"Întârziat")+COUNTIF(M59,"Întârziat")+COUNTIF(Q59,"Întârziat")+COUNTIF(U59,"Întârziat")+COUNTIF(Y59,"Întârziat")&gt;0,"DA","")</f>
        <v/>
      </c>
      <c r="I59" s="75" t="inlineStr">
        <is>
          <t>Finalizat</t>
        </is>
      </c>
      <c r="J59" s="76" t="inlineStr"/>
      <c r="K59" s="76" t="inlineStr"/>
      <c r="L59" s="59" t="inlineStr"/>
      <c r="M59" s="77" t="inlineStr">
        <is>
          <t>N/A</t>
        </is>
      </c>
      <c r="N59" s="76" t="inlineStr"/>
      <c r="O59" s="76" t="inlineStr"/>
      <c r="P59" s="59" t="inlineStr"/>
      <c r="Q59" s="75" t="inlineStr">
        <is>
          <t>Finalizat</t>
        </is>
      </c>
      <c r="R59" s="76" t="inlineStr"/>
      <c r="S59" s="76" t="inlineStr"/>
      <c r="T59" s="59" t="inlineStr"/>
      <c r="U59" s="75" t="inlineStr">
        <is>
          <t>Finalizat</t>
        </is>
      </c>
      <c r="V59" s="76" t="inlineStr"/>
      <c r="W59" s="76" t="inlineStr"/>
      <c r="X59" s="59" t="inlineStr"/>
      <c r="Y59" s="82" t="inlineStr">
        <is>
          <t>În lucru</t>
        </is>
      </c>
      <c r="Z59" s="76" t="inlineStr"/>
      <c r="AA59" s="76" t="inlineStr"/>
      <c r="AB59" s="59" t="inlineStr">
        <is>
          <t>OK – la vopsit</t>
        </is>
      </c>
      <c r="AC59" s="136" t="n"/>
    </row>
    <row r="60" ht="18" customHeight="1">
      <c r="A60" s="67" t="inlineStr">
        <is>
          <t>WP1000-10</t>
        </is>
      </c>
      <c r="B60" s="68" t="n">
        <v>19</v>
      </c>
      <c r="C60" s="69" t="inlineStr">
        <is>
          <t>Turn de racire</t>
        </is>
      </c>
      <c r="D60" s="70" t="inlineStr">
        <is>
          <t>🔴</t>
        </is>
      </c>
      <c r="E60" s="155">
        <f>IF(G60="DA","⛔ BLOCAT",IF(H60="DA","⚠ INTARZIAT",IF(COUNTIF(I60,"În coadă")+COUNTIF(M60,"În coadă")+COUNTIF(Q60,"În coadă")+COUNTIF(U60,"În coadă")+COUNTIF(Y60,"În coadă")&gt;0,"🔵 ÎN COADĂ",IF(F60=1,"✅ FINALIZAT",IF(F60&gt;0,"🔄 IN LUCRU","○ NEINCEPUT")))))</f>
        <v/>
      </c>
      <c r="F60" s="72">
        <f>IFERROR((COUNTIF(I60,"Finalizat")+COUNTIF(M60,"Finalizat")+COUNTIF(Q60,"Finalizat")+COUNTIF(U60,"Finalizat")+COUNTIF(Y60,"Finalizat"))/(5-COUNTIF(I60,"N/A")-COUNTIF(M60,"N/A")-COUNTIF(Q60,"N/A")-COUNTIF(U60,"N/A")-COUNTIF(Y60,"N/A")),0)</f>
        <v/>
      </c>
      <c r="G60" s="73">
        <f>IF(COUNTIF(I60,"Blocat")+COUNTIF(M60,"Blocat")+COUNTIF(Q60,"Blocat")+COUNTIF(U60,"Blocat")+COUNTIF(Y60,"Blocat")&gt;0,"DA","")</f>
        <v/>
      </c>
      <c r="H60" s="74">
        <f>IF(COUNTIF(I60,"Întârziat")+COUNTIF(M60,"Întârziat")+COUNTIF(Q60,"Întârziat")+COUNTIF(U60,"Întârziat")+COUNTIF(Y60,"Întârziat")&gt;0,"DA","")</f>
        <v/>
      </c>
      <c r="I60" s="75" t="inlineStr">
        <is>
          <t>Finalizat</t>
        </is>
      </c>
      <c r="J60" s="76" t="inlineStr"/>
      <c r="K60" s="76" t="inlineStr"/>
      <c r="L60" s="59" t="inlineStr"/>
      <c r="M60" s="75" t="inlineStr">
        <is>
          <t>Finalizat</t>
        </is>
      </c>
      <c r="N60" s="76" t="inlineStr"/>
      <c r="O60" s="76" t="inlineStr"/>
      <c r="P60" s="59" t="inlineStr"/>
      <c r="Q60" s="75" t="inlineStr">
        <is>
          <t>Finalizat</t>
        </is>
      </c>
      <c r="R60" s="76" t="inlineStr"/>
      <c r="S60" s="76" t="inlineStr"/>
      <c r="T60" s="59" t="inlineStr"/>
      <c r="U60" s="82" t="inlineStr">
        <is>
          <t>În lucru</t>
        </is>
      </c>
      <c r="V60" s="76" t="inlineStr"/>
      <c r="W60" s="76" t="inlineStr"/>
      <c r="X60" s="59" t="inlineStr"/>
      <c r="Y60" s="83" t="inlineStr">
        <is>
          <t>Neînceput</t>
        </is>
      </c>
      <c r="Z60" s="76" t="inlineStr"/>
      <c r="AA60" s="76" t="inlineStr"/>
      <c r="AB60" s="59" t="inlineStr">
        <is>
          <t>In lucru – asamblare</t>
        </is>
      </c>
      <c r="AC60" s="156" t="inlineStr">
        <is>
          <t>Dupa: Filtru Gudroane (SA#8)</t>
        </is>
      </c>
    </row>
  </sheetData>
  <mergeCells count="8">
    <mergeCell ref="A1:AC1"/>
    <mergeCell ref="Q2:T2"/>
    <mergeCell ref="U2:X2"/>
    <mergeCell ref="M2:P2"/>
    <mergeCell ref="A2:D2"/>
    <mergeCell ref="Y2:AB2"/>
    <mergeCell ref="E2:H2"/>
    <mergeCell ref="I2:L2"/>
  </mergeCells>
  <conditionalFormatting sqref="F4:F60">
    <cfRule type="dataBar" priority="1">
      <dataBar>
        <cfvo type="num" val="0"/>
        <cfvo type="num" val="1"/>
        <color rgb="002E75B6"/>
      </dataBar>
    </cfRule>
  </conditionalFormatting>
  <conditionalFormatting sqref="G4:G60">
    <cfRule type="expression" priority="2" dxfId="0">
      <formula>G4="DA"</formula>
    </cfRule>
  </conditionalFormatting>
  <conditionalFormatting sqref="H4:H60">
    <cfRule type="expression" priority="3" dxfId="0">
      <formula>H4="DA"</formula>
    </cfRule>
  </conditionalFormatting>
  <conditionalFormatting sqref="I4:I60">
    <cfRule type="expression" priority="4" dxfId="1">
      <formula>I4="În coadă"</formula>
    </cfRule>
  </conditionalFormatting>
  <conditionalFormatting sqref="M4:M60">
    <cfRule type="expression" priority="5" dxfId="1">
      <formula>M4="În coadă"</formula>
    </cfRule>
  </conditionalFormatting>
  <conditionalFormatting sqref="Q4:Q60">
    <cfRule type="expression" priority="6" dxfId="1">
      <formula>Q4="În coadă"</formula>
    </cfRule>
  </conditionalFormatting>
  <conditionalFormatting sqref="U4:U60">
    <cfRule type="expression" priority="7" dxfId="1">
      <formula>U4="În coadă"</formula>
    </cfRule>
  </conditionalFormatting>
  <conditionalFormatting sqref="Y4:Y60">
    <cfRule type="expression" priority="8" dxfId="1">
      <formula>Y4="În coadă"</formula>
    </cfRule>
  </conditionalFormatting>
  <dataValidations count="1">
    <dataValidation sqref="I4 I5 I6 I7 I8 I9 I10 I11 I12 I13 I14 I15 I16 I17 I18 I19 I20 I21 I22 I23 I24 I25 I26 I27 I28 I29 I30 I31 I32 I33 I34 I35 I36 I37 I38 I39 I40 I41 I42 I43 I44 I45 I46 I47 I48 I49 I50 I51 I52 I53 I54 I55 I56 I57 I58 I59 I60 M4 M5 M6 M7 M8 M9 M10 M11 M12 M13 M14 M15 M16 M17 M18 M19 M20 M21 M22 M23 M24 M25 M26 M27 M28 M29 M30 M31 M32 M33 M34 M35 M36 M37 M38 M39 M40 M41 M42 M43 M44 M45 M46 M47 M48 M49 M50 M51 M52 M53 M54 M55 M56 M57 M58 M59 M60 Q4 Q5 Q6 Q7 Q8 Q9 Q10 Q11 Q12 Q13 Q14 Q15 Q16 Q17 Q18 Q19 Q20 Q21 Q22 Q23 Q24 Q25 Q26 Q27 Q28 Q29 Q30 Q31 Q32 Q33 Q34 Q35 Q36 Q37 Q38 Q39 Q40 Q41 Q42 Q43 Q44 Q45 Q46 Q47 Q48 Q49 Q50 Q51 Q52 Q53 Q54 Q55 Q56 Q57 Q58 Q59 Q60 U4 U5 U6 U7 U8 U9 U10 U11 U12 U13 U14 U15 U16 U17 U18 U19 U20 U21 U22 U23 U24 U25 U26 U27 U28 U29 U30 U31 U32 U33 U34 U35 U36 U37 U38 U39 U40 U41 U42 U43 U44 U45 U46 U47 U48 U49 U50 U51 U52 U53 U54 U55 U56 U57 U58 U59 U60 Y4 Y5 Y6 Y7 Y8 Y9 Y10 Y11 Y12 Y13 Y14 Y15 Y16 Y17 Y18 Y19 Y20 Y21 Y22 Y23 Y24 Y25 Y26 Y27 Y28 Y29 Y30 Y31 Y32 Y33 Y34 Y35 Y36 Y37 Y38 Y39 Y40 Y41 Y42 Y43 Y44 Y45 Y46 Y47 Y48 Y49 Y50 Y51 Y52 Y53 Y54 Y55 Y56 Y57 Y58 Y59 Y60" showDropDown="0" showInputMessage="0" showErrorMessage="0" allowBlank="1" type="list">
      <formula1>"Neînceput,În lucru,Finalizat,Blocat,Întârziat,În coadă,N/A"</formula1>
    </dataValidation>
  </dataValidations>
  <pageMargins left="0.75" right="0.75" top="1" bottom="1" header="0.5" footer="0.5"/>
</worksheet>
</file>

<file path=xl/worksheets/sheet3.xml><?xml version="1.0" encoding="utf-8"?>
<worksheet xmlns="http://schemas.openxmlformats.org/spreadsheetml/2006/main">
  <sheetPr>
    <tabColor rgb="00C00000"/>
    <outlinePr summaryBelow="1" summaryRight="1"/>
    <pageSetUpPr/>
  </sheetPr>
  <dimension ref="A1:L7"/>
  <sheetViews>
    <sheetView showGridLines="0" workbookViewId="0">
      <pane ySplit="3" topLeftCell="A4" activePane="bottomLeft" state="frozen"/>
      <selection pane="bottomLeft" activeCell="A1" sqref="A1"/>
    </sheetView>
  </sheetViews>
  <sheetFormatPr baseColWidth="8" defaultRowHeight="15"/>
  <cols>
    <col width="10" customWidth="1" min="1" max="1"/>
    <col width="14" customWidth="1" min="2" max="2"/>
    <col width="14" customWidth="1" min="3" max="3"/>
    <col width="22" customWidth="1" min="4" max="4"/>
    <col width="12" customWidth="1" min="5" max="5"/>
    <col width="32" customWidth="1" min="6" max="6"/>
    <col width="16" customWidth="1" min="7" max="7"/>
    <col width="10" customWidth="1" min="8" max="8"/>
    <col width="12" customWidth="1" min="9" max="9"/>
    <col width="14" customWidth="1" min="10" max="10"/>
    <col width="12" customWidth="1" min="11" max="11"/>
    <col width="28" customWidth="1" min="12" max="12"/>
  </cols>
  <sheetData>
    <row r="1" ht="32" customHeight="1">
      <c r="A1" s="84" t="inlineStr">
        <is>
          <t>⛔  REGISTRU BLOCAJE  —  WASTE POWERTECH</t>
        </is>
      </c>
    </row>
    <row r="2" ht="20" customHeight="1">
      <c r="A2" s="85" t="inlineStr">
        <is>
          <t>Orice blocare a fluxului de producție se înregistrează IMEDIAT. Fiecare blocare generează un PDCA.</t>
        </is>
      </c>
    </row>
    <row r="3" ht="20" customHeight="1">
      <c r="A3" s="86" t="inlineStr">
        <is>
          <t>ID BLOCARE</t>
        </is>
      </c>
      <c r="B3" s="86" t="inlineStr">
        <is>
          <t>DATA DESCHIDERE</t>
        </is>
      </c>
      <c r="C3" s="86" t="inlineStr">
        <is>
          <t>PROIECT</t>
        </is>
      </c>
      <c r="D3" s="86" t="inlineStr">
        <is>
          <t>SUBANSAMBLU</t>
        </is>
      </c>
      <c r="E3" s="86" t="inlineStr">
        <is>
          <t>DEPARTAMENT</t>
        </is>
      </c>
      <c r="F3" s="86" t="inlineStr">
        <is>
          <t>DESCRIERE BLOCAJ</t>
        </is>
      </c>
      <c r="G3" s="86" t="inlineStr">
        <is>
          <t>RESPONSABIL</t>
        </is>
      </c>
      <c r="H3" s="86" t="inlineStr">
        <is>
          <t>IMPACT</t>
        </is>
      </c>
      <c r="I3" s="86" t="inlineStr">
        <is>
          <t>STATUS</t>
        </is>
      </c>
      <c r="J3" s="86" t="inlineStr">
        <is>
          <t>DATA REZOLVARE</t>
        </is>
      </c>
      <c r="K3" s="86" t="inlineStr">
        <is>
          <t>ZILE DESCHIS</t>
        </is>
      </c>
      <c r="L3" s="86" t="inlineStr">
        <is>
          <t>OBSERVATII</t>
        </is>
      </c>
    </row>
    <row r="4" ht="22" customHeight="1">
      <c r="A4" s="87" t="inlineStr">
        <is>
          <t>BLK-001</t>
        </is>
      </c>
      <c r="B4" s="88" t="n">
        <v>45775</v>
      </c>
      <c r="C4" s="89" t="inlineStr">
        <is>
          <t>WP1000-10</t>
        </is>
      </c>
      <c r="D4" s="90" t="inlineStr">
        <is>
          <t>Ventori scrubber</t>
        </is>
      </c>
      <c r="E4" s="32" t="inlineStr">
        <is>
          <t>SUDAT</t>
        </is>
      </c>
      <c r="F4" s="91" t="inlineStr">
        <is>
          <t>Discutie tehnica: configuratie neconfirmata cu proiectantul</t>
        </is>
      </c>
      <c r="G4" s="31" t="inlineStr">
        <is>
          <t>Andrei Marin</t>
        </is>
      </c>
      <c r="H4" s="92" t="inlineStr">
        <is>
          <t>INALT</t>
        </is>
      </c>
      <c r="I4" s="51" t="inlineStr">
        <is>
          <t>Deschis</t>
        </is>
      </c>
      <c r="J4" s="88" t="inlineStr"/>
      <c r="K4" s="93">
        <f>IF(J4="",TODAY()-B4,J4-B4)</f>
        <v/>
      </c>
      <c r="L4" s="59" t="inlineStr">
        <is>
          <t>Sudat blocat complet pe aceasta piesa</t>
        </is>
      </c>
    </row>
    <row r="5" ht="22" customHeight="1">
      <c r="A5" s="87" t="inlineStr">
        <is>
          <t>BLK-002</t>
        </is>
      </c>
      <c r="B5" s="88" t="n">
        <v>45777</v>
      </c>
      <c r="C5" s="89" t="inlineStr">
        <is>
          <t>WP1000-10</t>
        </is>
      </c>
      <c r="D5" s="90" t="inlineStr">
        <is>
          <t>Rezervor metalic (racitor)</t>
        </is>
      </c>
      <c r="E5" s="32" t="inlineStr">
        <is>
          <t>ASAMBLAT</t>
        </is>
      </c>
      <c r="F5" s="91" t="inlineStr">
        <is>
          <t>Lipsa componente de aprovizionat – fitinguri speciale</t>
        </is>
      </c>
      <c r="G5" s="31" t="inlineStr">
        <is>
          <t>Ion Popescu</t>
        </is>
      </c>
      <c r="H5" s="51" t="inlineStr">
        <is>
          <t>CRITIC</t>
        </is>
      </c>
      <c r="I5" s="51" t="inlineStr">
        <is>
          <t>Deschis</t>
        </is>
      </c>
      <c r="J5" s="88" t="inlineStr"/>
      <c r="K5" s="93">
        <f>IF(J5="",TODAY()-B5,J5-B5)</f>
        <v/>
      </c>
      <c r="L5" s="59" t="inlineStr">
        <is>
          <t>Blocheaza montajul final</t>
        </is>
      </c>
    </row>
    <row r="6" ht="22" customHeight="1">
      <c r="A6" s="87" t="inlineStr">
        <is>
          <t>BLK-003</t>
        </is>
      </c>
      <c r="B6" s="88" t="n">
        <v>45779</v>
      </c>
      <c r="C6" s="89" t="inlineStr">
        <is>
          <t>WP1000-10</t>
        </is>
      </c>
      <c r="D6" s="90" t="inlineStr">
        <is>
          <t>Sistem de tevi</t>
        </is>
      </c>
      <c r="E6" s="32" t="inlineStr">
        <is>
          <t>ASAMBLAT</t>
        </is>
      </c>
      <c r="F6" s="91" t="inlineStr">
        <is>
          <t>Lipsa teava pompa de vid – comanda in curs</t>
        </is>
      </c>
      <c r="G6" s="31" t="inlineStr">
        <is>
          <t>Maria Ionescu</t>
        </is>
      </c>
      <c r="H6" s="82" t="inlineStr">
        <is>
          <t>MEDIU</t>
        </is>
      </c>
      <c r="I6" s="51" t="inlineStr">
        <is>
          <t>Deschis</t>
        </is>
      </c>
      <c r="J6" s="88" t="inlineStr"/>
      <c r="K6" s="93">
        <f>IF(J6="",TODAY()-B6,J6-B6)</f>
        <v/>
      </c>
      <c r="L6" s="59" t="inlineStr">
        <is>
          <t>ETA livrare: 5 zile</t>
        </is>
      </c>
    </row>
    <row r="7" ht="22" customHeight="1">
      <c r="A7" s="94" t="inlineStr">
        <is>
          <t>BLK-004</t>
        </is>
      </c>
      <c r="B7" s="88" t="n">
        <v>45762</v>
      </c>
      <c r="C7" s="89" t="inlineStr">
        <is>
          <t>WP1000-09</t>
        </is>
      </c>
      <c r="D7" s="90" t="inlineStr">
        <is>
          <t>Ventori scrubber</t>
        </is>
      </c>
      <c r="E7" s="32" t="inlineStr">
        <is>
          <t>FINALIZAT</t>
        </is>
      </c>
      <c r="F7" s="91" t="inlineStr">
        <is>
          <t>Discutie rezolvata – configuratie confirmata</t>
        </is>
      </c>
      <c r="G7" s="31" t="inlineStr">
        <is>
          <t>Ion Popescu</t>
        </is>
      </c>
      <c r="H7" s="82" t="inlineStr">
        <is>
          <t>MEDIU</t>
        </is>
      </c>
      <c r="I7" s="75" t="inlineStr">
        <is>
          <t>Rezolvat</t>
        </is>
      </c>
      <c r="J7" s="88" t="n">
        <v>45767</v>
      </c>
      <c r="K7" s="95">
        <f>IF(J7="",TODAY()-B7,J7-B7)</f>
        <v/>
      </c>
      <c r="L7" s="59" t="inlineStr">
        <is>
          <t>Rezolvat in 5 zile</t>
        </is>
      </c>
    </row>
  </sheetData>
  <autoFilter ref="A3:L100"/>
  <mergeCells count="2">
    <mergeCell ref="A2:L2"/>
    <mergeCell ref="A1:L1"/>
  </mergeCells>
  <pageMargins left="0.75" right="0.75" top="1" bottom="1" header="0.5" footer="0.5"/>
</worksheet>
</file>

<file path=xl/worksheets/sheet4.xml><?xml version="1.0" encoding="utf-8"?>
<worksheet xmlns="http://schemas.openxmlformats.org/spreadsheetml/2006/main">
  <sheetPr>
    <tabColor rgb="007030A0"/>
    <outlinePr summaryBelow="1" summaryRight="1"/>
    <pageSetUpPr/>
  </sheetPr>
  <dimension ref="A1:M8"/>
  <sheetViews>
    <sheetView showGridLines="0" workbookViewId="0">
      <pane ySplit="3" topLeftCell="A4" activePane="bottomLeft" state="frozen"/>
      <selection pane="bottomLeft" activeCell="A1" sqref="A1"/>
    </sheetView>
  </sheetViews>
  <sheetFormatPr baseColWidth="8" defaultRowHeight="15"/>
  <cols>
    <col width="10" customWidth="1" min="1" max="1"/>
    <col width="10" customWidth="1" min="2" max="2"/>
    <col width="13" customWidth="1" min="3" max="3"/>
    <col width="13" customWidth="1" min="4" max="4"/>
    <col width="28" customWidth="1" min="5" max="5"/>
    <col width="28" customWidth="1" min="6" max="6"/>
    <col width="16" customWidth="1" min="7" max="7"/>
    <col width="12" customWidth="1" min="8" max="8"/>
    <col width="12" customWidth="1" min="9" max="9"/>
    <col width="24" customWidth="1" min="10" max="10"/>
    <col width="24" customWidth="1" min="11" max="11"/>
    <col width="10" customWidth="1" min="12" max="12"/>
    <col width="10" customWidth="1" min="13" max="13"/>
  </cols>
  <sheetData>
    <row r="1" ht="32" customHeight="1">
      <c r="A1" s="96" t="inlineStr">
        <is>
          <t>◆ PDCA — HOSHIN KANRI ACTION TRACKER  |  WASTE POWERTECH</t>
        </is>
      </c>
    </row>
    <row r="2" ht="18" customHeight="1">
      <c r="A2" s="97" t="inlineStr">
        <is>
          <t>◆ PLAN</t>
        </is>
      </c>
      <c r="E2" s="98" t="inlineStr">
        <is>
          <t>◆ DO</t>
        </is>
      </c>
      <c r="H2" s="99" t="inlineStr">
        <is>
          <t>◆ CHECK</t>
        </is>
      </c>
      <c r="J2" s="100" t="inlineStr">
        <is>
          <t>◆ ACT</t>
        </is>
      </c>
    </row>
    <row r="3">
      <c r="A3" s="28" t="inlineStr">
        <is>
          <t>ID PDCA</t>
        </is>
      </c>
      <c r="B3" s="28" t="inlineStr">
        <is>
          <t>SURSA</t>
        </is>
      </c>
      <c r="C3" s="28" t="inlineStr">
        <is>
          <t>DATA DESCHIS</t>
        </is>
      </c>
      <c r="D3" s="28" t="inlineStr">
        <is>
          <t>PROIECT</t>
        </is>
      </c>
      <c r="E3" s="28" t="inlineStr">
        <is>
          <t>PROBLEMA (Plan)</t>
        </is>
      </c>
      <c r="F3" s="28" t="inlineStr">
        <is>
          <t>CONTRAMASURA (Do)</t>
        </is>
      </c>
      <c r="G3" s="28" t="inlineStr">
        <is>
          <t>RESPONSABIL</t>
        </is>
      </c>
      <c r="H3" s="28" t="inlineStr">
        <is>
          <t>TERMEN</t>
        </is>
      </c>
      <c r="I3" s="28" t="inlineStr">
        <is>
          <t>STATUS</t>
        </is>
      </c>
      <c r="J3" s="28" t="inlineStr">
        <is>
          <t>REZULTAT (Check)</t>
        </is>
      </c>
      <c r="K3" s="28" t="inlineStr">
        <is>
          <t>ACTIUNE URMATOARE (Act)</t>
        </is>
      </c>
      <c r="L3" s="28" t="inlineStr">
        <is>
          <t>PRIORITATE</t>
        </is>
      </c>
      <c r="M3" s="28" t="inlineStr">
        <is>
          <t>ZILE RAMAS</t>
        </is>
      </c>
    </row>
    <row r="4" ht="28" customHeight="1">
      <c r="A4" s="101" t="inlineStr">
        <is>
          <t>PDCA-001</t>
        </is>
      </c>
      <c r="B4" s="102" t="inlineStr">
        <is>
          <t>BLK-001</t>
        </is>
      </c>
      <c r="C4" s="88" t="n">
        <v>45775</v>
      </c>
      <c r="D4" s="89" t="inlineStr">
        <is>
          <t>WP1000-10</t>
        </is>
      </c>
      <c r="E4" s="103" t="inlineStr">
        <is>
          <t>Configuratie scrubber nevalidata – risc blocare sudura</t>
        </is>
      </c>
      <c r="F4" s="103" t="inlineStr">
        <is>
          <t>Convocare sedinta tehnica urgenta cu proiectant si sef sudura</t>
        </is>
      </c>
      <c r="G4" s="31" t="inlineStr">
        <is>
          <t>Andrei Marin</t>
        </is>
      </c>
      <c r="H4" s="88" t="n">
        <v>45791</v>
      </c>
      <c r="I4" s="51" t="inlineStr">
        <is>
          <t>Deschis</t>
        </is>
      </c>
      <c r="J4" s="59" t="inlineStr"/>
      <c r="K4" s="59" t="inlineStr"/>
      <c r="L4" s="92" t="inlineStr">
        <is>
          <t>INALT</t>
        </is>
      </c>
      <c r="M4" s="71">
        <f>IF(I4="Inchis","✅ INCHIS",IF(H4&lt;TODAY(),"⛔ DEPASIT",H4-TODAY()&amp;" zile"))</f>
        <v/>
      </c>
    </row>
    <row r="5" ht="28" customHeight="1">
      <c r="A5" s="101" t="inlineStr">
        <is>
          <t>PDCA-002</t>
        </is>
      </c>
      <c r="B5" s="102" t="inlineStr">
        <is>
          <t>BLK-002</t>
        </is>
      </c>
      <c r="C5" s="88" t="n">
        <v>45777</v>
      </c>
      <c r="D5" s="89" t="inlineStr">
        <is>
          <t>WP1000-10</t>
        </is>
      </c>
      <c r="E5" s="103" t="inlineStr">
        <is>
          <t>Componente lipsa blocheaza asamblarea racitorului</t>
        </is>
      </c>
      <c r="F5" s="103" t="inlineStr">
        <is>
          <t>Aprovizionare urgenta; verificare stoc intern si furnizori alternativi</t>
        </is>
      </c>
      <c r="G5" s="31" t="inlineStr">
        <is>
          <t>Ion Popescu</t>
        </is>
      </c>
      <c r="H5" s="88" t="n">
        <v>45789</v>
      </c>
      <c r="I5" s="51" t="inlineStr">
        <is>
          <t>Deschis</t>
        </is>
      </c>
      <c r="J5" s="59" t="inlineStr"/>
      <c r="K5" s="59" t="inlineStr"/>
      <c r="L5" s="51" t="inlineStr">
        <is>
          <t>CRITIC</t>
        </is>
      </c>
      <c r="M5" s="71">
        <f>IF(I5="Inchis","✅ INCHIS",IF(H5&lt;TODAY(),"⛔ DEPASIT",H5-TODAY()&amp;" zile"))</f>
        <v/>
      </c>
    </row>
    <row r="6" ht="28" customHeight="1">
      <c r="A6" s="101" t="inlineStr">
        <is>
          <t>PDCA-003</t>
        </is>
      </c>
      <c r="B6" s="102" t="inlineStr">
        <is>
          <t>BLK-003</t>
        </is>
      </c>
      <c r="C6" s="88" t="n">
        <v>45779</v>
      </c>
      <c r="D6" s="89" t="inlineStr">
        <is>
          <t>WP1000-10</t>
        </is>
      </c>
      <c r="E6" s="103" t="inlineStr">
        <is>
          <t>Teava pompa de vid lipsa – blocheaza asamblarea</t>
        </is>
      </c>
      <c r="F6" s="103" t="inlineStr">
        <is>
          <t>Comanda plasata; confirmare ETA cu furnizor; plan alternativ</t>
        </is>
      </c>
      <c r="G6" s="31" t="inlineStr">
        <is>
          <t>Maria Ionescu</t>
        </is>
      </c>
      <c r="H6" s="88" t="n">
        <v>45793</v>
      </c>
      <c r="I6" s="51" t="inlineStr">
        <is>
          <t>Deschis</t>
        </is>
      </c>
      <c r="J6" s="59" t="inlineStr"/>
      <c r="K6" s="59" t="inlineStr"/>
      <c r="L6" s="82" t="inlineStr">
        <is>
          <t>MEDIU</t>
        </is>
      </c>
      <c r="M6" s="71">
        <f>IF(I6="Inchis","✅ INCHIS",IF(H6&lt;TODAY(),"⛔ DEPASIT",H6-TODAY()&amp;" zile"))</f>
        <v/>
      </c>
    </row>
    <row r="7" ht="28" customHeight="1">
      <c r="A7" s="101" t="inlineStr">
        <is>
          <t>PDCA-004</t>
        </is>
      </c>
      <c r="B7" s="102" t="inlineStr">
        <is>
          <t>OBS-01</t>
        </is>
      </c>
      <c r="C7" s="88" t="n">
        <v>45769</v>
      </c>
      <c r="D7" s="89" t="inlineStr">
        <is>
          <t>WP1000-10</t>
        </is>
      </c>
      <c r="E7" s="103" t="inlineStr">
        <is>
          <t>7 subansambluri la vopsit simultan – risc suprasolicitare dept</t>
        </is>
      </c>
      <c r="F7" s="103" t="inlineStr">
        <is>
          <t>Planificare secventiala vopsit; prioritizare dupa WP10 livr. target</t>
        </is>
      </c>
      <c r="G7" s="31" t="inlineStr">
        <is>
          <t>Andrei Marin</t>
        </is>
      </c>
      <c r="H7" s="88" t="n">
        <v>45797</v>
      </c>
      <c r="I7" s="92" t="inlineStr">
        <is>
          <t>In analiza</t>
        </is>
      </c>
      <c r="J7" s="59" t="inlineStr"/>
      <c r="K7" s="59" t="inlineStr"/>
      <c r="L7" s="82" t="inlineStr">
        <is>
          <t>MEDIU</t>
        </is>
      </c>
      <c r="M7" s="71">
        <f>IF(I7="Inchis","✅ INCHIS",IF(H7&lt;TODAY(),"⛔ DEPASIT",H7-TODAY()&amp;" zile"))</f>
        <v/>
      </c>
    </row>
    <row r="8" ht="28" customHeight="1">
      <c r="A8" s="101" t="inlineStr">
        <is>
          <t>PDCA-005</t>
        </is>
      </c>
      <c r="B8" s="102" t="inlineStr">
        <is>
          <t>KPI-W17</t>
        </is>
      </c>
      <c r="C8" s="88" t="n">
        <v>45772</v>
      </c>
      <c r="D8" s="89" t="inlineStr">
        <is>
          <t>TOATE</t>
        </is>
      </c>
      <c r="E8" s="103" t="inlineStr">
        <is>
          <t>Lead time laser crescut cu 20% saptamana 17</t>
        </is>
      </c>
      <c r="F8" s="103" t="inlineStr">
        <is>
          <t>Analiza cauze; verificare intretinere echipament laser; revizuire planificare</t>
        </is>
      </c>
      <c r="G8" s="31" t="inlineStr">
        <is>
          <t>Ion Popescu</t>
        </is>
      </c>
      <c r="H8" s="88" t="n">
        <v>45795</v>
      </c>
      <c r="I8" s="51" t="inlineStr">
        <is>
          <t>Deschis</t>
        </is>
      </c>
      <c r="J8" s="59" t="inlineStr"/>
      <c r="K8" s="59" t="inlineStr"/>
      <c r="L8" s="104" t="inlineStr">
        <is>
          <t>SCAZUT</t>
        </is>
      </c>
      <c r="M8" s="71">
        <f>IF(I8="Inchis","✅ INCHIS",IF(H8&lt;TODAY(),"⛔ DEPASIT",H8-TODAY()&amp;" zile"))</f>
        <v/>
      </c>
    </row>
  </sheetData>
  <autoFilter ref="A3:M100"/>
  <mergeCells count="5">
    <mergeCell ref="E2:G2"/>
    <mergeCell ref="H2:I2"/>
    <mergeCell ref="A1:M1"/>
    <mergeCell ref="J2:M2"/>
    <mergeCell ref="A2:D2"/>
  </mergeCells>
  <dataValidations count="2">
    <dataValidation sqref="I4 I5 I6 I7 I8" showDropDown="0" showInputMessage="0" showErrorMessage="0" allowBlank="1" type="list">
      <formula1>"Deschis,In analiza,In implementare,Verificare,Inchis"</formula1>
    </dataValidation>
    <dataValidation sqref="L4 L5 L6 L7 L8" showDropDown="0" showInputMessage="0" showErrorMessage="0" allowBlank="1" type="list">
      <formula1>"CRITIC,INALT,MEDIU,SCAZUT"</formula1>
    </dataValidation>
  </dataValidations>
  <pageMargins left="0.75" right="0.75" top="1" bottom="1" header="0.5" footer="0.5"/>
</worksheet>
</file>

<file path=xl/worksheets/sheet5.xml><?xml version="1.0" encoding="utf-8"?>
<worksheet xmlns="http://schemas.openxmlformats.org/spreadsheetml/2006/main">
  <sheetPr>
    <tabColor rgb="00ED7D31"/>
    <outlinePr summaryBelow="1" summaryRight="1"/>
    <pageSetUpPr/>
  </sheetPr>
  <dimension ref="A1:I32"/>
  <sheetViews>
    <sheetView showGridLines="0" workbookViewId="0">
      <pane ySplit="3" topLeftCell="A4" activePane="bottomLeft" state="frozen"/>
      <selection pane="bottomLeft" activeCell="A1" sqref="A1"/>
    </sheetView>
  </sheetViews>
  <sheetFormatPr baseColWidth="8" defaultRowHeight="15"/>
  <cols>
    <col width="12" customWidth="1" min="1" max="1"/>
    <col width="14" customWidth="1" min="2" max="2"/>
    <col width="24" customWidth="1" min="3" max="3"/>
    <col width="14" customWidth="1" min="4" max="4"/>
    <col width="14" customWidth="1" min="5" max="5"/>
    <col width="18" customWidth="1" min="6" max="6"/>
    <col width="16" customWidth="1" min="7" max="7"/>
    <col width="8" customWidth="1" min="8" max="8"/>
    <col width="28" customWidth="1" min="9" max="9"/>
  </cols>
  <sheetData>
    <row r="1" ht="32" customHeight="1">
      <c r="A1" s="105" t="inlineStr">
        <is>
          <t>🔄 FLUX ZILNIC DE PRODUCȚIE — LOG OPERAȚIONAL</t>
        </is>
      </c>
    </row>
    <row r="3" ht="20" customHeight="1">
      <c r="A3" s="52" t="inlineStr">
        <is>
          <t>DATA</t>
        </is>
      </c>
      <c r="B3" s="52" t="inlineStr">
        <is>
          <t>PROIECT</t>
        </is>
      </c>
      <c r="C3" s="52" t="inlineStr">
        <is>
          <t>SUBANSAMBLU</t>
        </is>
      </c>
      <c r="D3" s="52" t="inlineStr">
        <is>
          <t>DEPT ORIGINE</t>
        </is>
      </c>
      <c r="E3" s="52" t="inlineStr">
        <is>
          <t>DEPT DESTINATIE</t>
        </is>
      </c>
      <c r="F3" s="52" t="inlineStr">
        <is>
          <t>ECHIPA</t>
        </is>
      </c>
      <c r="G3" s="52" t="inlineStr">
        <is>
          <t>VALIDAT DE</t>
        </is>
      </c>
      <c r="H3" s="52" t="inlineStr">
        <is>
          <t>ORA</t>
        </is>
      </c>
      <c r="I3" s="52" t="inlineStr">
        <is>
          <t>OBSERVATII</t>
        </is>
      </c>
    </row>
    <row r="4" ht="20" customHeight="1">
      <c r="A4" s="106" t="n">
        <v>45783</v>
      </c>
      <c r="B4" s="107" t="inlineStr">
        <is>
          <t>WP1000-10</t>
        </is>
      </c>
      <c r="C4" s="108" t="inlineStr">
        <is>
          <t>Barbutoare</t>
        </is>
      </c>
      <c r="D4" s="109" t="inlineStr">
        <is>
          <t>SUDAT</t>
        </is>
      </c>
      <c r="E4" s="110" t="inlineStr">
        <is>
          <t>ASAMBLAT</t>
        </is>
      </c>
      <c r="F4" s="111" t="inlineStr">
        <is>
          <t>Echipa Sudat A</t>
        </is>
      </c>
      <c r="G4" s="112" t="inlineStr">
        <is>
          <t>Mihai Lungu</t>
        </is>
      </c>
      <c r="H4" s="113" t="inlineStr"/>
      <c r="I4" s="114" t="inlineStr">
        <is>
          <t>Predare OK</t>
        </is>
      </c>
    </row>
    <row r="5" ht="20" customHeight="1">
      <c r="A5" s="88" t="n">
        <v>45783</v>
      </c>
      <c r="B5" s="89" t="inlineStr">
        <is>
          <t>WP1000-10</t>
        </is>
      </c>
      <c r="C5" s="90" t="inlineStr">
        <is>
          <t>Filtre</t>
        </is>
      </c>
      <c r="D5" s="109" t="inlineStr">
        <is>
          <t>SUDAT</t>
        </is>
      </c>
      <c r="E5" s="110" t="inlineStr">
        <is>
          <t>ASAMBLAT</t>
        </is>
      </c>
      <c r="F5" s="76" t="inlineStr">
        <is>
          <t>Echipa Sudat A</t>
        </is>
      </c>
      <c r="G5" s="31" t="inlineStr">
        <is>
          <t>Mihai Lungu</t>
        </is>
      </c>
      <c r="H5" s="32" t="inlineStr"/>
      <c r="I5" s="59" t="inlineStr">
        <is>
          <t>Predare OK</t>
        </is>
      </c>
    </row>
    <row r="6" ht="20" customHeight="1">
      <c r="A6" s="106" t="n">
        <v>45784</v>
      </c>
      <c r="B6" s="107" t="inlineStr">
        <is>
          <t>WP1000-10</t>
        </is>
      </c>
      <c r="C6" s="108" t="inlineStr">
        <is>
          <t>Snec reactor superior</t>
        </is>
      </c>
      <c r="D6" s="110" t="inlineStr">
        <is>
          <t>ASAMBLAT</t>
        </is>
      </c>
      <c r="E6" s="82" t="inlineStr">
        <is>
          <t>VOPSIT</t>
        </is>
      </c>
      <c r="F6" s="111" t="inlineStr">
        <is>
          <t>Echipa Asamblare</t>
        </is>
      </c>
      <c r="G6" s="112" t="inlineStr">
        <is>
          <t>Radu Dinu</t>
        </is>
      </c>
      <c r="H6" s="113" t="inlineStr"/>
      <c r="I6" s="114" t="inlineStr">
        <is>
          <t>Finalizat asamblare</t>
        </is>
      </c>
    </row>
    <row r="7" ht="20" customHeight="1">
      <c r="A7" s="88" t="n">
        <v>45784</v>
      </c>
      <c r="B7" s="89" t="inlineStr">
        <is>
          <t>WP1000-10</t>
        </is>
      </c>
      <c r="C7" s="90" t="inlineStr">
        <is>
          <t>Snec reactor inferior</t>
        </is>
      </c>
      <c r="D7" s="110" t="inlineStr">
        <is>
          <t>ASAMBLAT</t>
        </is>
      </c>
      <c r="E7" s="82" t="inlineStr">
        <is>
          <t>VOPSIT</t>
        </is>
      </c>
      <c r="F7" s="76" t="inlineStr">
        <is>
          <t>Echipa Asamblare</t>
        </is>
      </c>
      <c r="G7" s="31" t="inlineStr">
        <is>
          <t>Radu Dinu</t>
        </is>
      </c>
      <c r="H7" s="32" t="inlineStr"/>
      <c r="I7" s="59" t="inlineStr">
        <is>
          <t>Finalizat asamblare</t>
        </is>
      </c>
    </row>
    <row r="8" ht="20" customHeight="1">
      <c r="A8" s="106" t="n">
        <v>45785</v>
      </c>
      <c r="B8" s="107" t="inlineStr">
        <is>
          <t>WP1000-09</t>
        </is>
      </c>
      <c r="C8" s="108" t="inlineStr">
        <is>
          <t>Turn de racire</t>
        </is>
      </c>
      <c r="D8" s="101" t="inlineStr">
        <is>
          <t>ROLAT</t>
        </is>
      </c>
      <c r="E8" s="109" t="inlineStr">
        <is>
          <t>SUDAT</t>
        </is>
      </c>
      <c r="F8" s="111" t="inlineStr">
        <is>
          <t>Echipa Rolat</t>
        </is>
      </c>
      <c r="G8" s="112" t="inlineStr">
        <is>
          <t>Vasile Pop</t>
        </is>
      </c>
      <c r="H8" s="113" t="inlineStr"/>
      <c r="I8" s="114" t="inlineStr">
        <is>
          <t>Rolat complet</t>
        </is>
      </c>
    </row>
    <row r="9" ht="20" customHeight="1">
      <c r="A9" s="88" t="n">
        <v>45785</v>
      </c>
      <c r="B9" s="89" t="inlineStr">
        <is>
          <t>WP1000-10</t>
        </is>
      </c>
      <c r="C9" s="90" t="inlineStr">
        <is>
          <t>Presetupe</t>
        </is>
      </c>
      <c r="D9" s="110" t="inlineStr">
        <is>
          <t>ASAMBLAT</t>
        </is>
      </c>
      <c r="E9" s="82" t="inlineStr">
        <is>
          <t>VOPSIT</t>
        </is>
      </c>
      <c r="F9" s="76" t="inlineStr">
        <is>
          <t>Echipa Asamblare</t>
        </is>
      </c>
      <c r="G9" s="31" t="inlineStr">
        <is>
          <t>Radu Dinu</t>
        </is>
      </c>
      <c r="H9" s="32" t="inlineStr"/>
      <c r="I9" s="59" t="inlineStr">
        <is>
          <t>Finalizat asamblare</t>
        </is>
      </c>
    </row>
    <row r="10" ht="20" customHeight="1">
      <c r="A10" s="106" t="n">
        <v>45786</v>
      </c>
      <c r="B10" s="107" t="inlineStr">
        <is>
          <t>WP1000-10</t>
        </is>
      </c>
      <c r="C10" s="108" t="inlineStr">
        <is>
          <t>Turn de racire</t>
        </is>
      </c>
      <c r="D10" s="109" t="inlineStr">
        <is>
          <t>SUDAT</t>
        </is>
      </c>
      <c r="E10" s="110" t="inlineStr">
        <is>
          <t>ASAMBLAT</t>
        </is>
      </c>
      <c r="F10" s="111" t="inlineStr">
        <is>
          <t>Echipa Sudat B</t>
        </is>
      </c>
      <c r="G10" s="112" t="inlineStr">
        <is>
          <t>Gelu Soare</t>
        </is>
      </c>
      <c r="H10" s="113" t="inlineStr"/>
      <c r="I10" s="114" t="inlineStr">
        <is>
          <t>Sudura finalizata</t>
        </is>
      </c>
    </row>
    <row r="11" ht="20" customHeight="1">
      <c r="A11" s="88" t="n">
        <v>45786</v>
      </c>
      <c r="B11" s="89" t="inlineStr">
        <is>
          <t>WP1000-10</t>
        </is>
      </c>
      <c r="C11" s="90" t="inlineStr">
        <is>
          <t>Snec compactor intrare</t>
        </is>
      </c>
      <c r="D11" s="110" t="inlineStr">
        <is>
          <t>ASAMBLAT</t>
        </is>
      </c>
      <c r="E11" s="82" t="inlineStr">
        <is>
          <t>VOPSIT</t>
        </is>
      </c>
      <c r="F11" s="76" t="inlineStr">
        <is>
          <t>Echipa Asamblare</t>
        </is>
      </c>
      <c r="G11" s="31" t="inlineStr">
        <is>
          <t>Radu Dinu</t>
        </is>
      </c>
      <c r="H11" s="32" t="inlineStr"/>
      <c r="I11" s="59" t="inlineStr">
        <is>
          <t>Finalizat</t>
        </is>
      </c>
    </row>
    <row r="12" ht="20" customHeight="1">
      <c r="A12" s="106" t="n">
        <v>45786</v>
      </c>
      <c r="B12" s="107" t="inlineStr">
        <is>
          <t>WP1000-10</t>
        </is>
      </c>
      <c r="C12" s="108" t="inlineStr">
        <is>
          <t>Snec compactor iesire</t>
        </is>
      </c>
      <c r="D12" s="110" t="inlineStr">
        <is>
          <t>ASAMBLAT</t>
        </is>
      </c>
      <c r="E12" s="82" t="inlineStr">
        <is>
          <t>VOPSIT</t>
        </is>
      </c>
      <c r="F12" s="111" t="inlineStr">
        <is>
          <t>Echipa Asamblare</t>
        </is>
      </c>
      <c r="G12" s="112" t="inlineStr">
        <is>
          <t>Radu Dinu</t>
        </is>
      </c>
      <c r="H12" s="113" t="inlineStr"/>
      <c r="I12" s="114" t="inlineStr">
        <is>
          <t>Finalizat</t>
        </is>
      </c>
    </row>
    <row r="13" ht="20" customHeight="1">
      <c r="A13" s="115" t="inlineStr"/>
      <c r="B13" s="115" t="inlineStr"/>
      <c r="C13" s="115" t="inlineStr"/>
      <c r="D13" s="115" t="inlineStr"/>
      <c r="E13" s="115" t="inlineStr"/>
      <c r="F13" s="115" t="inlineStr"/>
      <c r="G13" s="115" t="inlineStr"/>
      <c r="H13" s="115" t="inlineStr"/>
      <c r="I13" s="115" t="inlineStr"/>
    </row>
    <row r="14" ht="20" customHeight="1">
      <c r="A14" s="115" t="inlineStr"/>
      <c r="B14" s="115" t="inlineStr"/>
      <c r="C14" s="115" t="inlineStr"/>
      <c r="D14" s="115" t="inlineStr"/>
      <c r="E14" s="115" t="inlineStr"/>
      <c r="F14" s="115" t="inlineStr"/>
      <c r="G14" s="115" t="inlineStr"/>
      <c r="H14" s="115" t="inlineStr"/>
      <c r="I14" s="115" t="inlineStr"/>
    </row>
    <row r="15" ht="20" customHeight="1">
      <c r="A15" s="115" t="inlineStr"/>
      <c r="B15" s="115" t="inlineStr"/>
      <c r="C15" s="115" t="inlineStr"/>
      <c r="D15" s="115" t="inlineStr"/>
      <c r="E15" s="115" t="inlineStr"/>
      <c r="F15" s="115" t="inlineStr"/>
      <c r="G15" s="115" t="inlineStr"/>
      <c r="H15" s="115" t="inlineStr"/>
      <c r="I15" s="115" t="inlineStr"/>
    </row>
    <row r="16" ht="20" customHeight="1">
      <c r="A16" s="115" t="inlineStr"/>
      <c r="B16" s="115" t="inlineStr"/>
      <c r="C16" s="115" t="inlineStr"/>
      <c r="D16" s="115" t="inlineStr"/>
      <c r="E16" s="115" t="inlineStr"/>
      <c r="F16" s="115" t="inlineStr"/>
      <c r="G16" s="115" t="inlineStr"/>
      <c r="H16" s="115" t="inlineStr"/>
      <c r="I16" s="115" t="inlineStr"/>
    </row>
    <row r="17" ht="20" customHeight="1">
      <c r="A17" s="115" t="inlineStr"/>
      <c r="B17" s="115" t="inlineStr"/>
      <c r="C17" s="115" t="inlineStr"/>
      <c r="D17" s="115" t="inlineStr"/>
      <c r="E17" s="115" t="inlineStr"/>
      <c r="F17" s="115" t="inlineStr"/>
      <c r="G17" s="115" t="inlineStr"/>
      <c r="H17" s="115" t="inlineStr"/>
      <c r="I17" s="115" t="inlineStr"/>
    </row>
    <row r="18" ht="20" customHeight="1">
      <c r="A18" s="115" t="inlineStr"/>
      <c r="B18" s="115" t="inlineStr"/>
      <c r="C18" s="115" t="inlineStr"/>
      <c r="D18" s="115" t="inlineStr"/>
      <c r="E18" s="115" t="inlineStr"/>
      <c r="F18" s="115" t="inlineStr"/>
      <c r="G18" s="115" t="inlineStr"/>
      <c r="H18" s="115" t="inlineStr"/>
      <c r="I18" s="115" t="inlineStr"/>
    </row>
    <row r="19" ht="20" customHeight="1">
      <c r="A19" s="115" t="inlineStr"/>
      <c r="B19" s="115" t="inlineStr"/>
      <c r="C19" s="115" t="inlineStr"/>
      <c r="D19" s="115" t="inlineStr"/>
      <c r="E19" s="115" t="inlineStr"/>
      <c r="F19" s="115" t="inlineStr"/>
      <c r="G19" s="115" t="inlineStr"/>
      <c r="H19" s="115" t="inlineStr"/>
      <c r="I19" s="115" t="inlineStr"/>
    </row>
    <row r="20" ht="20" customHeight="1">
      <c r="A20" s="115" t="inlineStr"/>
      <c r="B20" s="115" t="inlineStr"/>
      <c r="C20" s="115" t="inlineStr"/>
      <c r="D20" s="115" t="inlineStr"/>
      <c r="E20" s="115" t="inlineStr"/>
      <c r="F20" s="115" t="inlineStr"/>
      <c r="G20" s="115" t="inlineStr"/>
      <c r="H20" s="115" t="inlineStr"/>
      <c r="I20" s="115" t="inlineStr"/>
    </row>
    <row r="21" ht="20" customHeight="1">
      <c r="A21" s="115" t="inlineStr"/>
      <c r="B21" s="115" t="inlineStr"/>
      <c r="C21" s="115" t="inlineStr"/>
      <c r="D21" s="115" t="inlineStr"/>
      <c r="E21" s="115" t="inlineStr"/>
      <c r="F21" s="115" t="inlineStr"/>
      <c r="G21" s="115" t="inlineStr"/>
      <c r="H21" s="115" t="inlineStr"/>
      <c r="I21" s="115" t="inlineStr"/>
    </row>
    <row r="22" ht="20" customHeight="1">
      <c r="A22" s="115" t="inlineStr"/>
      <c r="B22" s="115" t="inlineStr"/>
      <c r="C22" s="115" t="inlineStr"/>
      <c r="D22" s="115" t="inlineStr"/>
      <c r="E22" s="115" t="inlineStr"/>
      <c r="F22" s="115" t="inlineStr"/>
      <c r="G22" s="115" t="inlineStr"/>
      <c r="H22" s="115" t="inlineStr"/>
      <c r="I22" s="115" t="inlineStr"/>
    </row>
    <row r="23" ht="20" customHeight="1">
      <c r="A23" s="115" t="inlineStr"/>
      <c r="B23" s="115" t="inlineStr"/>
      <c r="C23" s="115" t="inlineStr"/>
      <c r="D23" s="115" t="inlineStr"/>
      <c r="E23" s="115" t="inlineStr"/>
      <c r="F23" s="115" t="inlineStr"/>
      <c r="G23" s="115" t="inlineStr"/>
      <c r="H23" s="115" t="inlineStr"/>
      <c r="I23" s="115" t="inlineStr"/>
    </row>
    <row r="24" ht="20" customHeight="1">
      <c r="A24" s="115" t="inlineStr"/>
      <c r="B24" s="115" t="inlineStr"/>
      <c r="C24" s="115" t="inlineStr"/>
      <c r="D24" s="115" t="inlineStr"/>
      <c r="E24" s="115" t="inlineStr"/>
      <c r="F24" s="115" t="inlineStr"/>
      <c r="G24" s="115" t="inlineStr"/>
      <c r="H24" s="115" t="inlineStr"/>
      <c r="I24" s="115" t="inlineStr"/>
    </row>
    <row r="25" ht="20" customHeight="1">
      <c r="A25" s="115" t="inlineStr"/>
      <c r="B25" s="115" t="inlineStr"/>
      <c r="C25" s="115" t="inlineStr"/>
      <c r="D25" s="115" t="inlineStr"/>
      <c r="E25" s="115" t="inlineStr"/>
      <c r="F25" s="115" t="inlineStr"/>
      <c r="G25" s="115" t="inlineStr"/>
      <c r="H25" s="115" t="inlineStr"/>
      <c r="I25" s="115" t="inlineStr"/>
    </row>
    <row r="26" ht="20" customHeight="1">
      <c r="A26" s="115" t="inlineStr"/>
      <c r="B26" s="115" t="inlineStr"/>
      <c r="C26" s="115" t="inlineStr"/>
      <c r="D26" s="115" t="inlineStr"/>
      <c r="E26" s="115" t="inlineStr"/>
      <c r="F26" s="115" t="inlineStr"/>
      <c r="G26" s="115" t="inlineStr"/>
      <c r="H26" s="115" t="inlineStr"/>
      <c r="I26" s="115" t="inlineStr"/>
    </row>
    <row r="27" ht="20" customHeight="1">
      <c r="A27" s="115" t="inlineStr"/>
      <c r="B27" s="115" t="inlineStr"/>
      <c r="C27" s="115" t="inlineStr"/>
      <c r="D27" s="115" t="inlineStr"/>
      <c r="E27" s="115" t="inlineStr"/>
      <c r="F27" s="115" t="inlineStr"/>
      <c r="G27" s="115" t="inlineStr"/>
      <c r="H27" s="115" t="inlineStr"/>
      <c r="I27" s="115" t="inlineStr"/>
    </row>
    <row r="28" ht="20" customHeight="1">
      <c r="A28" s="115" t="inlineStr"/>
      <c r="B28" s="115" t="inlineStr"/>
      <c r="C28" s="115" t="inlineStr"/>
      <c r="D28" s="115" t="inlineStr"/>
      <c r="E28" s="115" t="inlineStr"/>
      <c r="F28" s="115" t="inlineStr"/>
      <c r="G28" s="115" t="inlineStr"/>
      <c r="H28" s="115" t="inlineStr"/>
      <c r="I28" s="115" t="inlineStr"/>
    </row>
    <row r="29" ht="20" customHeight="1">
      <c r="A29" s="115" t="inlineStr"/>
      <c r="B29" s="115" t="inlineStr"/>
      <c r="C29" s="115" t="inlineStr"/>
      <c r="D29" s="115" t="inlineStr"/>
      <c r="E29" s="115" t="inlineStr"/>
      <c r="F29" s="115" t="inlineStr"/>
      <c r="G29" s="115" t="inlineStr"/>
      <c r="H29" s="115" t="inlineStr"/>
      <c r="I29" s="115" t="inlineStr"/>
    </row>
    <row r="30" ht="20" customHeight="1">
      <c r="A30" s="115" t="inlineStr"/>
      <c r="B30" s="115" t="inlineStr"/>
      <c r="C30" s="115" t="inlineStr"/>
      <c r="D30" s="115" t="inlineStr"/>
      <c r="E30" s="115" t="inlineStr"/>
      <c r="F30" s="115" t="inlineStr"/>
      <c r="G30" s="115" t="inlineStr"/>
      <c r="H30" s="115" t="inlineStr"/>
      <c r="I30" s="115" t="inlineStr"/>
    </row>
    <row r="31" ht="20" customHeight="1">
      <c r="A31" s="115" t="inlineStr"/>
      <c r="B31" s="115" t="inlineStr"/>
      <c r="C31" s="115" t="inlineStr"/>
      <c r="D31" s="115" t="inlineStr"/>
      <c r="E31" s="115" t="inlineStr"/>
      <c r="F31" s="115" t="inlineStr"/>
      <c r="G31" s="115" t="inlineStr"/>
      <c r="H31" s="115" t="inlineStr"/>
      <c r="I31" s="115" t="inlineStr"/>
    </row>
    <row r="32" ht="20" customHeight="1">
      <c r="A32" s="115" t="inlineStr"/>
      <c r="B32" s="115" t="inlineStr"/>
      <c r="C32" s="115" t="inlineStr"/>
      <c r="D32" s="115" t="inlineStr"/>
      <c r="E32" s="115" t="inlineStr"/>
      <c r="F32" s="115" t="inlineStr"/>
      <c r="G32" s="115" t="inlineStr"/>
      <c r="H32" s="115" t="inlineStr"/>
      <c r="I32" s="115" t="inlineStr"/>
    </row>
  </sheetData>
  <autoFilter ref="A3:I200"/>
  <mergeCells count="1">
    <mergeCell ref="A1:I1"/>
  </mergeCells>
  <dataValidations count="1">
    <dataValidation sqref="D4 D5 D6 D7 D8 D9 D10 D11 D12 E4 E5 E6 E7 E8 E9 E10 E11 E12" showDropDown="0" showInputMessage="0" showErrorMessage="0" allowBlank="1" type="list">
      <formula1>"LASER,ROLAT,SUDAT,ASAMBLAT,VOPSIT,EXPEDITIE"</formula1>
    </dataValidation>
  </dataValidations>
  <pageMargins left="0.75" right="0.75" top="1" bottom="1" header="0.5" footer="0.5"/>
</worksheet>
</file>

<file path=xl/worksheets/sheet6.xml><?xml version="1.0" encoding="utf-8"?>
<worksheet xmlns="http://schemas.openxmlformats.org/spreadsheetml/2006/main">
  <sheetPr>
    <tabColor rgb="00F0A500"/>
    <outlinePr summaryBelow="1" summaryRight="1"/>
    <pageSetUpPr/>
  </sheetPr>
  <dimension ref="A1:N26"/>
  <sheetViews>
    <sheetView showGridLines="0" workbookViewId="0">
      <pane ySplit="3" topLeftCell="A4" activePane="bottomLeft" state="frozen"/>
      <selection pane="bottomLeft" activeCell="A1" sqref="A1"/>
    </sheetView>
  </sheetViews>
  <sheetFormatPr baseColWidth="8" defaultRowHeight="15"/>
  <cols>
    <col width="10" customWidth="1" min="1" max="1"/>
    <col width="14" customWidth="1" min="2" max="2"/>
    <col width="11" customWidth="1" min="3" max="3"/>
    <col width="11" customWidth="1" min="4" max="4"/>
    <col width="11" customWidth="1" min="5" max="5"/>
    <col width="11" customWidth="1" min="6" max="6"/>
    <col width="11" customWidth="1" min="7" max="7"/>
    <col width="16" customWidth="1" min="8" max="8"/>
    <col width="11" customWidth="1" min="9" max="9"/>
    <col width="28" customWidth="1" min="10" max="10"/>
  </cols>
  <sheetData>
    <row r="1" ht="32" customHeight="1">
      <c r="A1" s="116" t="inlineStr">
        <is>
          <t>📊 KPI ECHIPE DE PRODUCȚIE — WASTE POWERTECH</t>
        </is>
      </c>
    </row>
    <row r="2" ht="18" customHeight="1">
      <c r="A2" s="117" t="inlineStr">
        <is>
          <t>Completat de: Șef de producție  |  Frecvență: Săptămânal (Luni dimineața)  |  Review: Ședința operațională lunară</t>
        </is>
      </c>
    </row>
    <row r="3" ht="20" customHeight="1">
      <c r="A3" s="27" t="inlineStr">
        <is>
          <t>SĂPTĂMÂNA</t>
        </is>
      </c>
      <c r="B3" s="27" t="inlineStr">
        <is>
          <t>ECHIPĂ / DEPT</t>
        </is>
      </c>
      <c r="C3" s="27" t="inlineStr">
        <is>
          <t>SA INTRARE</t>
        </is>
      </c>
      <c r="D3" s="27" t="inlineStr">
        <is>
          <t>SA IEȘIRE</t>
        </is>
      </c>
      <c r="E3" s="27" t="inlineStr">
        <is>
          <t>SA BLOCATE</t>
        </is>
      </c>
      <c r="F3" s="27" t="inlineStr">
        <is>
          <t>SA ÎNTÂRZIATE</t>
        </is>
      </c>
      <c r="G3" s="27" t="inlineStr">
        <is>
          <t>EFICIENȚĂ %</t>
        </is>
      </c>
      <c r="H3" s="27" t="inlineStr">
        <is>
          <t>LEAD TIME MED (ore)</t>
        </is>
      </c>
      <c r="I3" s="27" t="inlineStr">
        <is>
          <t>CALITATE OK %</t>
        </is>
      </c>
      <c r="J3" s="27" t="inlineStr">
        <is>
          <t>OBSERVATII</t>
        </is>
      </c>
    </row>
    <row r="4" ht="20" customHeight="1">
      <c r="A4" s="118" t="inlineStr">
        <is>
          <t>S-17 (Apr 28)</t>
        </is>
      </c>
      <c r="B4" s="119" t="inlineStr">
        <is>
          <t>LASER</t>
        </is>
      </c>
      <c r="C4" s="33" t="n">
        <v>8</v>
      </c>
      <c r="D4" s="33" t="n">
        <v>7</v>
      </c>
      <c r="E4" s="75" t="n">
        <v>0</v>
      </c>
      <c r="F4" s="48" t="n">
        <v>0</v>
      </c>
      <c r="G4" s="120" t="n">
        <v>0.87</v>
      </c>
      <c r="H4" s="121" t="n">
        <v>14</v>
      </c>
      <c r="I4" s="122" t="n">
        <v>0.96</v>
      </c>
      <c r="J4" s="59" t="inlineStr"/>
    </row>
    <row r="5" ht="20" customHeight="1">
      <c r="A5" s="118" t="inlineStr">
        <is>
          <t>S-17 (Apr 28)</t>
        </is>
      </c>
      <c r="B5" s="101" t="inlineStr">
        <is>
          <t>ROLAT</t>
        </is>
      </c>
      <c r="C5" s="33" t="n">
        <v>4</v>
      </c>
      <c r="D5" s="33" t="n">
        <v>4</v>
      </c>
      <c r="E5" s="75" t="n">
        <v>0</v>
      </c>
      <c r="F5" s="48" t="n">
        <v>0</v>
      </c>
      <c r="G5" s="122" t="n">
        <v>1</v>
      </c>
      <c r="H5" s="121" t="n">
        <v>18</v>
      </c>
      <c r="I5" s="122" t="n">
        <v>1</v>
      </c>
      <c r="J5" s="59" t="inlineStr"/>
    </row>
    <row r="6" ht="20" customHeight="1">
      <c r="A6" s="118" t="inlineStr">
        <is>
          <t>S-17 (Apr 28)</t>
        </is>
      </c>
      <c r="B6" s="109" t="inlineStr">
        <is>
          <t>SUDAT</t>
        </is>
      </c>
      <c r="C6" s="33" t="n">
        <v>7</v>
      </c>
      <c r="D6" s="33" t="n">
        <v>5</v>
      </c>
      <c r="E6" s="51" t="n">
        <v>2</v>
      </c>
      <c r="F6" s="48" t="n">
        <v>0</v>
      </c>
      <c r="G6" s="120" t="n">
        <v>0.71</v>
      </c>
      <c r="H6" s="121" t="n">
        <v>24</v>
      </c>
      <c r="I6" s="120" t="n">
        <v>0.88</v>
      </c>
      <c r="J6" s="59" t="inlineStr"/>
    </row>
    <row r="7" ht="20" customHeight="1">
      <c r="A7" s="118" t="inlineStr">
        <is>
          <t>S-17 (Apr 28)</t>
        </is>
      </c>
      <c r="B7" s="110" t="inlineStr">
        <is>
          <t>ASAMBLAT</t>
        </is>
      </c>
      <c r="C7" s="33" t="n">
        <v>6</v>
      </c>
      <c r="D7" s="33" t="n">
        <v>5</v>
      </c>
      <c r="E7" s="51" t="n">
        <v>1</v>
      </c>
      <c r="F7" s="48" t="n">
        <v>0</v>
      </c>
      <c r="G7" s="120" t="n">
        <v>0.83</v>
      </c>
      <c r="H7" s="121" t="n">
        <v>16</v>
      </c>
      <c r="I7" s="122" t="n">
        <v>0.95</v>
      </c>
      <c r="J7" s="59" t="inlineStr"/>
    </row>
    <row r="8" ht="20" customHeight="1">
      <c r="A8" s="118" t="inlineStr">
        <is>
          <t>S-17 (Apr 28)</t>
        </is>
      </c>
      <c r="B8" s="82" t="inlineStr">
        <is>
          <t>VOPSIT</t>
        </is>
      </c>
      <c r="C8" s="33" t="n">
        <v>5</v>
      </c>
      <c r="D8" s="33" t="n">
        <v>5</v>
      </c>
      <c r="E8" s="75" t="n">
        <v>0</v>
      </c>
      <c r="F8" s="48" t="n">
        <v>0</v>
      </c>
      <c r="G8" s="122" t="n">
        <v>1</v>
      </c>
      <c r="H8" s="121" t="n">
        <v>20</v>
      </c>
      <c r="I8" s="122" t="n">
        <v>0.97</v>
      </c>
      <c r="J8" s="59" t="inlineStr"/>
    </row>
    <row r="10" ht="20" customHeight="1">
      <c r="A10" s="118" t="inlineStr">
        <is>
          <t>S-18 (Mai 5)</t>
        </is>
      </c>
      <c r="B10" s="119" t="inlineStr">
        <is>
          <t>LASER</t>
        </is>
      </c>
      <c r="C10" s="33" t="n">
        <v>9</v>
      </c>
      <c r="D10" s="33" t="n">
        <v>9</v>
      </c>
      <c r="E10" s="75" t="n">
        <v>0</v>
      </c>
      <c r="F10" s="48" t="n">
        <v>0</v>
      </c>
      <c r="G10" s="122" t="n">
        <v>1</v>
      </c>
      <c r="H10" s="121" t="n">
        <v>12</v>
      </c>
      <c r="I10" s="122" t="n">
        <v>0.98</v>
      </c>
      <c r="J10" s="59" t="inlineStr"/>
    </row>
    <row r="11" ht="20" customHeight="1">
      <c r="A11" s="118" t="inlineStr">
        <is>
          <t>S-18 (Mai 5)</t>
        </is>
      </c>
      <c r="B11" s="101" t="inlineStr">
        <is>
          <t>ROLAT</t>
        </is>
      </c>
      <c r="C11" s="33" t="n">
        <v>3</v>
      </c>
      <c r="D11" s="33" t="n">
        <v>3</v>
      </c>
      <c r="E11" s="75" t="n">
        <v>0</v>
      </c>
      <c r="F11" s="48" t="n">
        <v>0</v>
      </c>
      <c r="G11" s="122" t="n">
        <v>1</v>
      </c>
      <c r="H11" s="121" t="n">
        <v>20</v>
      </c>
      <c r="I11" s="122" t="n">
        <v>1</v>
      </c>
      <c r="J11" s="59" t="inlineStr"/>
    </row>
    <row r="12" ht="20" customHeight="1">
      <c r="A12" s="118" t="inlineStr">
        <is>
          <t>S-18 (Mai 5)</t>
        </is>
      </c>
      <c r="B12" s="109" t="inlineStr">
        <is>
          <t>SUDAT</t>
        </is>
      </c>
      <c r="C12" s="33" t="n">
        <v>8</v>
      </c>
      <c r="D12" s="33" t="n">
        <v>6</v>
      </c>
      <c r="E12" s="51" t="n">
        <v>1</v>
      </c>
      <c r="F12" s="48" t="n">
        <v>0</v>
      </c>
      <c r="G12" s="120" t="n">
        <v>0.75</v>
      </c>
      <c r="H12" s="121" t="n">
        <v>22</v>
      </c>
      <c r="I12" s="120" t="n">
        <v>0.9</v>
      </c>
      <c r="J12" s="59" t="inlineStr"/>
    </row>
    <row r="13" ht="20" customHeight="1">
      <c r="A13" s="118" t="inlineStr">
        <is>
          <t>S-18 (Mai 5)</t>
        </is>
      </c>
      <c r="B13" s="110" t="inlineStr">
        <is>
          <t>ASAMBLAT</t>
        </is>
      </c>
      <c r="C13" s="33" t="n">
        <v>7</v>
      </c>
      <c r="D13" s="33" t="n">
        <v>6</v>
      </c>
      <c r="E13" s="51" t="n">
        <v>1</v>
      </c>
      <c r="F13" s="48" t="n">
        <v>0</v>
      </c>
      <c r="G13" s="120" t="n">
        <v>0.86</v>
      </c>
      <c r="H13" s="121" t="n">
        <v>15</v>
      </c>
      <c r="I13" s="122" t="n">
        <v>0.96</v>
      </c>
      <c r="J13" s="59" t="inlineStr"/>
    </row>
    <row r="14" ht="20" customHeight="1">
      <c r="A14" s="118" t="inlineStr">
        <is>
          <t>S-18 (Mai 5)</t>
        </is>
      </c>
      <c r="B14" s="82" t="inlineStr">
        <is>
          <t>VOPSIT</t>
        </is>
      </c>
      <c r="C14" s="33" t="n">
        <v>6</v>
      </c>
      <c r="D14" s="33" t="n">
        <v>6</v>
      </c>
      <c r="E14" s="75" t="n">
        <v>0</v>
      </c>
      <c r="F14" s="48" t="n">
        <v>0</v>
      </c>
      <c r="G14" s="122" t="n">
        <v>1</v>
      </c>
      <c r="H14" s="121" t="n">
        <v>18</v>
      </c>
      <c r="I14" s="122" t="n">
        <v>0.98</v>
      </c>
      <c r="J14" s="59" t="inlineStr"/>
    </row>
    <row r="16" ht="20" customHeight="1">
      <c r="A16" s="118" t="inlineStr">
        <is>
          <t>S-19 (Mai 12)</t>
        </is>
      </c>
      <c r="B16" s="119" t="inlineStr">
        <is>
          <t>LASER</t>
        </is>
      </c>
      <c r="C16" s="33" t="n">
        <v>10</v>
      </c>
      <c r="D16" s="33" t="n">
        <v>8</v>
      </c>
      <c r="E16" s="75" t="n">
        <v>0</v>
      </c>
      <c r="F16" s="48" t="n">
        <v>0</v>
      </c>
      <c r="G16" s="120" t="n">
        <v>0.8</v>
      </c>
      <c r="H16" s="121" t="n">
        <v>13</v>
      </c>
      <c r="I16" s="122" t="n">
        <v>0.97</v>
      </c>
      <c r="J16" s="59" t="inlineStr"/>
    </row>
    <row r="17" ht="20" customHeight="1">
      <c r="A17" s="118" t="inlineStr">
        <is>
          <t>S-19 (Mai 12)</t>
        </is>
      </c>
      <c r="B17" s="101" t="inlineStr">
        <is>
          <t>ROLAT</t>
        </is>
      </c>
      <c r="C17" s="33" t="n">
        <v>2</v>
      </c>
      <c r="D17" s="33" t="n">
        <v>2</v>
      </c>
      <c r="E17" s="75" t="n">
        <v>0</v>
      </c>
      <c r="F17" s="48" t="n">
        <v>0</v>
      </c>
      <c r="G17" s="122" t="n">
        <v>1</v>
      </c>
      <c r="H17" s="121" t="n">
        <v>17</v>
      </c>
      <c r="I17" s="122" t="n">
        <v>1</v>
      </c>
      <c r="J17" s="59" t="inlineStr"/>
    </row>
    <row r="18" ht="20" customHeight="1">
      <c r="A18" s="118" t="inlineStr">
        <is>
          <t>S-19 (Mai 12)</t>
        </is>
      </c>
      <c r="B18" s="109" t="inlineStr">
        <is>
          <t>SUDAT</t>
        </is>
      </c>
      <c r="C18" s="33" t="n">
        <v>9</v>
      </c>
      <c r="D18" s="33" t="n">
        <v>7</v>
      </c>
      <c r="E18" s="51" t="n">
        <v>2</v>
      </c>
      <c r="F18" s="48" t="n">
        <v>0</v>
      </c>
      <c r="G18" s="120" t="n">
        <v>0.78</v>
      </c>
      <c r="H18" s="121" t="n">
        <v>20</v>
      </c>
      <c r="I18" s="120" t="n">
        <v>0.91</v>
      </c>
      <c r="J18" s="59" t="inlineStr"/>
    </row>
    <row r="19" ht="20" customHeight="1">
      <c r="A19" s="118" t="inlineStr">
        <is>
          <t>S-19 (Mai 12)</t>
        </is>
      </c>
      <c r="B19" s="110" t="inlineStr">
        <is>
          <t>ASAMBLAT</t>
        </is>
      </c>
      <c r="C19" s="33" t="n">
        <v>8</v>
      </c>
      <c r="D19" s="33" t="n">
        <v>5</v>
      </c>
      <c r="E19" s="51" t="n">
        <v>3</v>
      </c>
      <c r="F19" s="48" t="n">
        <v>0</v>
      </c>
      <c r="G19" s="123" t="n">
        <v>0.63</v>
      </c>
      <c r="H19" s="121" t="n">
        <v>18</v>
      </c>
      <c r="I19" s="120" t="n">
        <v>0.93</v>
      </c>
      <c r="J19" s="59" t="inlineStr"/>
    </row>
    <row r="20" ht="20" customHeight="1">
      <c r="A20" s="118" t="inlineStr">
        <is>
          <t>S-19 (Mai 12)</t>
        </is>
      </c>
      <c r="B20" s="82" t="inlineStr">
        <is>
          <t>VOPSIT</t>
        </is>
      </c>
      <c r="C20" s="33" t="n">
        <v>9</v>
      </c>
      <c r="D20" s="33" t="n">
        <v>9</v>
      </c>
      <c r="E20" s="75" t="n">
        <v>0</v>
      </c>
      <c r="F20" s="48" t="n">
        <v>0</v>
      </c>
      <c r="G20" s="122" t="n">
        <v>1</v>
      </c>
      <c r="H20" s="121" t="n">
        <v>16</v>
      </c>
      <c r="I20" s="122" t="n">
        <v>1</v>
      </c>
      <c r="J20" s="59" t="inlineStr"/>
    </row>
    <row r="22" ht="20" customHeight="1">
      <c r="A22" s="118" t="inlineStr">
        <is>
          <t>S-20 (Mai 19)</t>
        </is>
      </c>
      <c r="B22" s="119" t="inlineStr">
        <is>
          <t>LASER</t>
        </is>
      </c>
      <c r="C22" s="33" t="n">
        <v>0</v>
      </c>
      <c r="D22" s="33" t="n">
        <v>0</v>
      </c>
      <c r="E22" s="75" t="n">
        <v>0</v>
      </c>
      <c r="F22" s="48" t="n">
        <v>0</v>
      </c>
      <c r="G22" s="123" t="n">
        <v>0</v>
      </c>
      <c r="H22" s="121" t="n">
        <v>0</v>
      </c>
      <c r="I22" s="123" t="n">
        <v>0</v>
      </c>
      <c r="J22" s="59" t="inlineStr"/>
    </row>
    <row r="23" ht="20" customHeight="1">
      <c r="A23" s="118" t="inlineStr">
        <is>
          <t>S-20 (Mai 19)</t>
        </is>
      </c>
      <c r="B23" s="101" t="inlineStr">
        <is>
          <t>ROLAT</t>
        </is>
      </c>
      <c r="C23" s="33" t="n">
        <v>0</v>
      </c>
      <c r="D23" s="33" t="n">
        <v>0</v>
      </c>
      <c r="E23" s="75" t="n">
        <v>0</v>
      </c>
      <c r="F23" s="48" t="n">
        <v>0</v>
      </c>
      <c r="G23" s="123" t="n">
        <v>0</v>
      </c>
      <c r="H23" s="121" t="n">
        <v>0</v>
      </c>
      <c r="I23" s="123" t="n">
        <v>0</v>
      </c>
      <c r="J23" s="59" t="inlineStr"/>
    </row>
    <row r="24" ht="20" customHeight="1">
      <c r="A24" s="118" t="inlineStr">
        <is>
          <t>S-20 (Mai 19)</t>
        </is>
      </c>
      <c r="B24" s="109" t="inlineStr">
        <is>
          <t>SUDAT</t>
        </is>
      </c>
      <c r="C24" s="33" t="n">
        <v>0</v>
      </c>
      <c r="D24" s="33" t="n">
        <v>0</v>
      </c>
      <c r="E24" s="75" t="n">
        <v>0</v>
      </c>
      <c r="F24" s="48" t="n">
        <v>0</v>
      </c>
      <c r="G24" s="123" t="n">
        <v>0</v>
      </c>
      <c r="H24" s="121" t="n">
        <v>0</v>
      </c>
      <c r="I24" s="123" t="n">
        <v>0</v>
      </c>
      <c r="J24" s="59" t="inlineStr"/>
    </row>
    <row r="25" ht="20" customHeight="1">
      <c r="A25" s="118" t="inlineStr">
        <is>
          <t>S-20 (Mai 19)</t>
        </is>
      </c>
      <c r="B25" s="110" t="inlineStr">
        <is>
          <t>ASAMBLAT</t>
        </is>
      </c>
      <c r="C25" s="33" t="n">
        <v>0</v>
      </c>
      <c r="D25" s="33" t="n">
        <v>0</v>
      </c>
      <c r="E25" s="75" t="n">
        <v>0</v>
      </c>
      <c r="F25" s="48" t="n">
        <v>0</v>
      </c>
      <c r="G25" s="123" t="n">
        <v>0</v>
      </c>
      <c r="H25" s="121" t="n">
        <v>0</v>
      </c>
      <c r="I25" s="123" t="n">
        <v>0</v>
      </c>
      <c r="J25" s="59" t="inlineStr"/>
    </row>
    <row r="26" ht="20" customHeight="1">
      <c r="A26" s="118" t="inlineStr">
        <is>
          <t>S-20 (Mai 19)</t>
        </is>
      </c>
      <c r="B26" s="82" t="inlineStr">
        <is>
          <t>VOPSIT</t>
        </is>
      </c>
      <c r="C26" s="33" t="n">
        <v>0</v>
      </c>
      <c r="D26" s="33" t="n">
        <v>0</v>
      </c>
      <c r="E26" s="75" t="n">
        <v>0</v>
      </c>
      <c r="F26" s="48" t="n">
        <v>0</v>
      </c>
      <c r="G26" s="123" t="n">
        <v>0</v>
      </c>
      <c r="H26" s="121" t="n">
        <v>0</v>
      </c>
      <c r="I26" s="123" t="n">
        <v>0</v>
      </c>
      <c r="J26" s="59" t="inlineStr"/>
    </row>
  </sheetData>
  <autoFilter ref="A3:J100"/>
  <mergeCells count="2">
    <mergeCell ref="A2:N2"/>
    <mergeCell ref="A1:N1"/>
  </mergeCells>
  <pageMargins left="0.75" right="0.75" top="1" bottom="1" header="0.5" footer="0.5"/>
</worksheet>
</file>

<file path=xl/worksheets/sheet7.xml><?xml version="1.0" encoding="utf-8"?>
<worksheet xmlns="http://schemas.openxmlformats.org/spreadsheetml/2006/main">
  <sheetPr>
    <tabColor rgb="0070AD47"/>
    <outlinePr summaryBelow="1" summaryRight="1"/>
    <pageSetUpPr/>
  </sheetPr>
  <dimension ref="A1:L6"/>
  <sheetViews>
    <sheetView showGridLines="0" workbookViewId="0">
      <selection activeCell="A1" sqref="A1"/>
    </sheetView>
  </sheetViews>
  <sheetFormatPr baseColWidth="8" defaultRowHeight="15"/>
  <cols>
    <col width="14" customWidth="1" min="1" max="1"/>
    <col width="18" customWidth="1" min="2" max="2"/>
    <col width="18" customWidth="1" min="3" max="3"/>
    <col width="10" customWidth="1" min="4" max="4"/>
    <col width="13" customWidth="1" min="5" max="5"/>
    <col width="13" customWidth="1" min="6" max="6"/>
    <col width="18" customWidth="1" min="7" max="7"/>
    <col width="20" customWidth="1" min="8" max="8"/>
    <col width="12" customWidth="1" min="9" max="9"/>
    <col width="14" customWidth="1" min="10" max="10"/>
    <col width="16" customWidth="1" min="11" max="11"/>
    <col width="28" customWidth="1" min="12" max="12"/>
  </cols>
  <sheetData>
    <row r="1" ht="32" customHeight="1">
      <c r="A1" s="61" t="inlineStr">
        <is>
          <t>◆ REGISTRU PROIECTE  —  WASTE POWERTECH</t>
        </is>
      </c>
    </row>
    <row r="3" ht="20" customHeight="1">
      <c r="A3" s="27" t="inlineStr">
        <is>
          <t>ID PROIECT</t>
        </is>
      </c>
      <c r="B3" s="27" t="inlineStr">
        <is>
          <t>CLIENT</t>
        </is>
      </c>
      <c r="C3" s="27" t="inlineStr">
        <is>
          <t>RESPONSABIL</t>
        </is>
      </c>
      <c r="D3" s="27" t="inlineStr">
        <is>
          <t>PRIORITATE</t>
        </is>
      </c>
      <c r="E3" s="27" t="inlineStr">
        <is>
          <t>DATA START</t>
        </is>
      </c>
      <c r="F3" s="27" t="inlineStr">
        <is>
          <t>DATA TARGET</t>
        </is>
      </c>
      <c r="G3" s="27" t="inlineStr">
        <is>
          <t>SUBANSAMBLURI TOTALE</t>
        </is>
      </c>
      <c r="H3" s="27" t="inlineStr">
        <is>
          <t>SUBANSAMBLURI FINALIZATE</t>
        </is>
      </c>
      <c r="I3" s="27" t="inlineStr">
        <is>
          <t>% PROGRES</t>
        </is>
      </c>
      <c r="J3" s="27" t="inlineStr">
        <is>
          <t>BLOCAJE ACTIVE</t>
        </is>
      </c>
      <c r="K3" s="27" t="inlineStr">
        <is>
          <t>STATUS PROIECT</t>
        </is>
      </c>
      <c r="L3" s="27" t="inlineStr">
        <is>
          <t>OBSERVATII</t>
        </is>
      </c>
    </row>
    <row r="4" ht="22" customHeight="1">
      <c r="A4" s="124" t="inlineStr">
        <is>
          <t>WP1000-08</t>
        </is>
      </c>
      <c r="B4" s="125" t="inlineStr">
        <is>
          <t>Client Alpha</t>
        </is>
      </c>
      <c r="C4" s="126" t="inlineStr">
        <is>
          <t>Ion Popescu</t>
        </is>
      </c>
      <c r="D4" s="127" t="inlineStr">
        <is>
          <t>🟢 NORMAL</t>
        </is>
      </c>
      <c r="E4" s="128" t="n">
        <v>45306</v>
      </c>
      <c r="F4" s="128" t="n">
        <v>45504</v>
      </c>
      <c r="G4" s="127" t="n">
        <v>82</v>
      </c>
      <c r="H4" s="127" t="n">
        <v>82</v>
      </c>
      <c r="I4" s="129" t="n">
        <v>1</v>
      </c>
      <c r="J4" s="37" t="n">
        <v>0</v>
      </c>
      <c r="K4" s="75" t="inlineStr">
        <is>
          <t>✅ LIVRAT</t>
        </is>
      </c>
      <c r="L4" s="130" t="inlineStr"/>
    </row>
    <row r="5" ht="22" customHeight="1">
      <c r="A5" s="131" t="inlineStr">
        <is>
          <t>WP1000-09</t>
        </is>
      </c>
      <c r="B5" s="132" t="inlineStr">
        <is>
          <t>Client Beta</t>
        </is>
      </c>
      <c r="C5" s="133" t="inlineStr">
        <is>
          <t>Maria Ionescu</t>
        </is>
      </c>
      <c r="D5" s="134" t="inlineStr">
        <is>
          <t>🟡 RIDICAT</t>
        </is>
      </c>
      <c r="E5" s="135" t="n">
        <v>45383</v>
      </c>
      <c r="F5" s="135" t="n">
        <v>45626</v>
      </c>
      <c r="G5" s="134" t="n">
        <v>82</v>
      </c>
      <c r="H5" s="134" t="n">
        <v>80</v>
      </c>
      <c r="I5" s="129" t="n">
        <v>0.975609756097561</v>
      </c>
      <c r="J5" s="37" t="n">
        <v>0</v>
      </c>
      <c r="K5" s="82" t="inlineStr">
        <is>
          <t>🟡 IN LIVRARE</t>
        </is>
      </c>
      <c r="L5" s="136" t="inlineStr"/>
    </row>
    <row r="6" ht="22" customHeight="1">
      <c r="A6" s="124" t="inlineStr">
        <is>
          <t>WP1000-10</t>
        </is>
      </c>
      <c r="B6" s="125" t="inlineStr">
        <is>
          <t>Client Gamma</t>
        </is>
      </c>
      <c r="C6" s="126" t="inlineStr">
        <is>
          <t>Andrei Marin</t>
        </is>
      </c>
      <c r="D6" s="127" t="inlineStr">
        <is>
          <t>🔴 CRITIC</t>
        </is>
      </c>
      <c r="E6" s="128" t="n">
        <v>45458</v>
      </c>
      <c r="F6" s="128" t="n">
        <v>45747</v>
      </c>
      <c r="G6" s="127" t="n">
        <v>82</v>
      </c>
      <c r="H6" s="127" t="n">
        <v>67</v>
      </c>
      <c r="I6" s="129" t="n">
        <v>0.8170731707317073</v>
      </c>
      <c r="J6" s="42" t="n">
        <v>3</v>
      </c>
      <c r="K6" s="51" t="inlineStr">
        <is>
          <t>⛔ BLOCAJE ACTIVE</t>
        </is>
      </c>
      <c r="L6" s="130" t="inlineStr"/>
    </row>
  </sheetData>
  <mergeCells count="1">
    <mergeCell ref="A1:L1"/>
  </mergeCells>
  <conditionalFormatting sqref="I4:I10">
    <cfRule type="dataBar" priority="1">
      <dataBar>
        <cfvo type="num" val="0"/>
        <cfvo type="num" val="1"/>
        <color rgb="002E75B6"/>
      </dataBar>
    </cfRule>
  </conditionalFormatting>
  <pageMargins left="0.75" right="0.75" top="1" bottom="1" header="0.5" footer="0.5"/>
</worksheet>
</file>

<file path=xl/worksheets/sheet8.xml><?xml version="1.0" encoding="utf-8"?>
<worksheet xmlns="http://schemas.openxmlformats.org/spreadsheetml/2006/main">
  <sheetPr>
    <tabColor rgb="00808080"/>
    <outlinePr summaryBelow="1" summaryRight="1"/>
    <pageSetUpPr/>
  </sheetPr>
  <dimension ref="A1:J36"/>
  <sheetViews>
    <sheetView showGridLines="0" workbookViewId="0">
      <selection activeCell="A1" sqref="A1"/>
    </sheetView>
  </sheetViews>
  <sheetFormatPr baseColWidth="8" defaultRowHeight="15"/>
  <cols>
    <col width="20" customWidth="1" min="1" max="1"/>
    <col width="60" customWidth="1" min="2" max="2"/>
    <col width="30"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ht="36" customHeight="1">
      <c r="A1" s="61" t="inlineStr">
        <is>
          <t>◆ GHID SISTEM WHITEBOARD VIZUAL — WASTE POWERTECH</t>
        </is>
      </c>
    </row>
    <row r="3" ht="24" customHeight="1">
      <c r="A3" s="137" t="inlineStr">
        <is>
          <t>▸ STRUCTURA WHITEBOARD FIZIC</t>
        </is>
      </c>
      <c r="B3" s="5" t="n"/>
      <c r="C3" s="5" t="n"/>
      <c r="D3" s="5" t="n"/>
      <c r="E3" s="5" t="n"/>
      <c r="F3" s="5" t="n"/>
      <c r="G3" s="5" t="n"/>
      <c r="H3" s="5" t="n"/>
      <c r="I3" s="5" t="n"/>
      <c r="J3" s="147" t="n"/>
    </row>
    <row r="4" ht="20" customHeight="1">
      <c r="A4" s="67" t="inlineStr">
        <is>
          <t>ZONA 1 - HEADER</t>
        </is>
      </c>
      <c r="B4" s="91" t="inlineStr">
        <is>
          <t>DATA / SAPTAMANA / PROIECTE ACTIVE / ZILE PANA LA LIVRARE</t>
        </is>
      </c>
      <c r="C4" s="5" t="n"/>
      <c r="D4" s="5" t="n"/>
      <c r="E4" s="5" t="n"/>
      <c r="F4" s="5" t="n"/>
      <c r="G4" s="5" t="n"/>
      <c r="H4" s="5" t="n"/>
      <c r="I4" s="5" t="n"/>
      <c r="J4" s="6" t="n"/>
    </row>
    <row r="5" ht="20" customHeight="1">
      <c r="A5" s="67" t="inlineStr">
        <is>
          <t>ZONA 2 - KANBAN FLUX</t>
        </is>
      </c>
      <c r="B5" s="91" t="inlineStr">
        <is>
          <t>COLOANE: Backlog | LASER | ROLAT | SUDAT | ASAMBLAT | VOPSIT | LIVRAT</t>
        </is>
      </c>
      <c r="C5" s="5" t="n"/>
      <c r="D5" s="5" t="n"/>
      <c r="E5" s="5" t="n"/>
      <c r="F5" s="5" t="n"/>
      <c r="G5" s="5" t="n"/>
      <c r="H5" s="5" t="n"/>
      <c r="I5" s="5" t="n"/>
      <c r="J5" s="6" t="n"/>
    </row>
    <row r="6" ht="20" customHeight="1">
      <c r="A6" s="67" t="inlineStr">
        <is>
          <t>ZONA 3 - BLOCAJE</t>
        </is>
      </c>
      <c r="B6" s="138" t="inlineStr">
        <is>
          <t>Cartonase rosii LIPITE PE BOARD pentru fiecare blocare activa</t>
        </is>
      </c>
      <c r="C6" s="5" t="n"/>
      <c r="D6" s="5" t="n"/>
      <c r="E6" s="5" t="n"/>
      <c r="F6" s="5" t="n"/>
      <c r="G6" s="5" t="n"/>
      <c r="H6" s="5" t="n"/>
      <c r="I6" s="5" t="n"/>
      <c r="J6" s="6" t="n"/>
    </row>
    <row r="7" ht="20" customHeight="1">
      <c r="A7" s="67" t="inlineStr">
        <is>
          <t>ZONA 4 - KPI ZILNIC</t>
        </is>
      </c>
      <c r="B7" s="91" t="inlineStr">
        <is>
          <t>Eficienta flux | Lead time ieri | SA finalizate ieri | SA blocate total</t>
        </is>
      </c>
      <c r="C7" s="5" t="n"/>
      <c r="D7" s="5" t="n"/>
      <c r="E7" s="5" t="n"/>
      <c r="F7" s="5" t="n"/>
      <c r="G7" s="5" t="n"/>
      <c r="H7" s="5" t="n"/>
      <c r="I7" s="5" t="n"/>
      <c r="J7" s="6" t="n"/>
    </row>
    <row r="8" ht="20" customHeight="1">
      <c r="A8" s="67" t="inlineStr">
        <is>
          <t>ZONA 5 - PDCA</t>
        </is>
      </c>
      <c r="B8" s="139" t="inlineStr">
        <is>
          <t>Actiunile deschise + termenul + proprietarul — scrise cu marker</t>
        </is>
      </c>
      <c r="C8" s="5" t="n"/>
      <c r="D8" s="5" t="n"/>
      <c r="E8" s="5" t="n"/>
      <c r="F8" s="5" t="n"/>
      <c r="G8" s="5" t="n"/>
      <c r="H8" s="5" t="n"/>
      <c r="I8" s="5" t="n"/>
      <c r="J8" s="6" t="n"/>
    </row>
    <row r="9" ht="24" customHeight="1">
      <c r="A9" s="140" t="inlineStr">
        <is>
          <t>▸ CODUL DE CULORI AL MAGNETILOR / CARTONASELOR</t>
        </is>
      </c>
      <c r="B9" s="5" t="n"/>
      <c r="C9" s="5" t="n"/>
      <c r="D9" s="5" t="n"/>
      <c r="E9" s="5" t="n"/>
      <c r="F9" s="5" t="n"/>
      <c r="G9" s="5" t="n"/>
      <c r="H9" s="5" t="n"/>
      <c r="I9" s="5" t="n"/>
      <c r="J9" s="147" t="n"/>
    </row>
    <row r="10" ht="20" customHeight="1">
      <c r="A10" s="107" t="inlineStr">
        <is>
          <t>MAGNET VERDE ✅</t>
        </is>
      </c>
      <c r="B10" s="91" t="inlineStr">
        <is>
          <t>Subansamblu FINALIZAT in departamentul respectiv</t>
        </is>
      </c>
      <c r="C10" s="5" t="n"/>
      <c r="D10" s="5" t="n"/>
      <c r="E10" s="5" t="n"/>
      <c r="F10" s="5" t="n"/>
      <c r="G10" s="5" t="n"/>
      <c r="H10" s="5" t="n"/>
      <c r="I10" s="5" t="n"/>
      <c r="J10" s="6" t="n"/>
    </row>
    <row r="11" ht="20" customHeight="1">
      <c r="A11" s="141" t="inlineStr">
        <is>
          <t>MAGNET GALBEN 🟡</t>
        </is>
      </c>
      <c r="B11" s="91" t="inlineStr">
        <is>
          <t>Subansamblu IN LUCRU — in curs de executie</t>
        </is>
      </c>
      <c r="C11" s="5" t="n"/>
      <c r="D11" s="5" t="n"/>
      <c r="E11" s="5" t="n"/>
      <c r="F11" s="5" t="n"/>
      <c r="G11" s="5" t="n"/>
      <c r="H11" s="5" t="n"/>
      <c r="I11" s="5" t="n"/>
      <c r="J11" s="6" t="n"/>
    </row>
    <row r="12" ht="20" customHeight="1">
      <c r="A12" s="142" t="inlineStr">
        <is>
          <t>MAGNET ROSU ⛔</t>
        </is>
      </c>
      <c r="B12" s="91" t="inlineStr">
        <is>
          <t>Subansamblu BLOCAT — necesita interventie imediata</t>
        </is>
      </c>
      <c r="C12" s="5" t="n"/>
      <c r="D12" s="5" t="n"/>
      <c r="E12" s="5" t="n"/>
      <c r="F12" s="5" t="n"/>
      <c r="G12" s="5" t="n"/>
      <c r="H12" s="5" t="n"/>
      <c r="I12" s="5" t="n"/>
      <c r="J12" s="6" t="n"/>
    </row>
    <row r="13" ht="20" customHeight="1">
      <c r="A13" s="143" t="inlineStr">
        <is>
          <t>MAGNET PORTOCALIU ⚠</t>
        </is>
      </c>
      <c r="B13" s="91" t="inlineStr">
        <is>
          <t>Subansamblu INTARZIAT — depasit termenul planificat</t>
        </is>
      </c>
      <c r="C13" s="5" t="n"/>
      <c r="D13" s="5" t="n"/>
      <c r="E13" s="5" t="n"/>
      <c r="F13" s="5" t="n"/>
      <c r="G13" s="5" t="n"/>
      <c r="H13" s="5" t="n"/>
      <c r="I13" s="5" t="n"/>
      <c r="J13" s="6" t="n"/>
    </row>
    <row r="14" ht="20" customHeight="1">
      <c r="A14" s="78" t="inlineStr">
        <is>
          <t>CARTONAS ALB ○</t>
        </is>
      </c>
      <c r="B14" s="91" t="inlineStr">
        <is>
          <t>Subansamblu NEINCEPUT — in asteptare / backlog</t>
        </is>
      </c>
      <c r="C14" s="5" t="n"/>
      <c r="D14" s="5" t="n"/>
      <c r="E14" s="5" t="n"/>
      <c r="F14" s="5" t="n"/>
      <c r="G14" s="5" t="n"/>
      <c r="H14" s="5" t="n"/>
      <c r="I14" s="5" t="n"/>
      <c r="J14" s="6" t="n"/>
    </row>
    <row r="15" ht="20" customHeight="1">
      <c r="A15" s="157" t="inlineStr">
        <is>
          <t>MAGNET ALBASTRU 🔵</t>
        </is>
      </c>
      <c r="B15" s="91" t="inlineStr">
        <is>
          <t>Subansamblu ÎN COADĂ — amânat prin planificare, condiționat de alt SA sau de disponibilitatea echipei. NU este blocare neprevăzută. Se scrie pe cartonaș: 'DUPĂ: [SA condiționant]' + data estimată start.</t>
        </is>
      </c>
    </row>
    <row r="16" ht="24" customHeight="1">
      <c r="A16" s="143" t="inlineStr">
        <is>
          <t>CARTONAS PORTOCALIU MARE</t>
        </is>
      </c>
      <c r="B16" s="91" t="inlineStr">
        <is>
          <t>BLOCAJ ACTIV — scrii: ID + descriere + responsabil + termen</t>
        </is>
      </c>
      <c r="C16" s="5" t="n"/>
      <c r="D16" s="5" t="n"/>
      <c r="E16" s="5" t="n"/>
      <c r="F16" s="5" t="n"/>
      <c r="G16" s="5" t="n"/>
      <c r="H16" s="5" t="n"/>
      <c r="I16" s="5" t="n"/>
      <c r="J16" s="6" t="n"/>
    </row>
    <row r="17" ht="20" customHeight="1">
      <c r="A17" s="144" t="inlineStr">
        <is>
          <t>▸ RITMUL SEDINTEI ZILNICE (15-20 min)</t>
        </is>
      </c>
      <c r="B17" s="5" t="n"/>
      <c r="C17" s="5" t="n"/>
      <c r="D17" s="5" t="n"/>
      <c r="E17" s="5" t="n"/>
      <c r="F17" s="5" t="n"/>
      <c r="G17" s="5" t="n"/>
      <c r="H17" s="5" t="n"/>
      <c r="I17" s="5" t="n"/>
      <c r="J17" s="147" t="n"/>
    </row>
    <row r="18" ht="20" customHeight="1">
      <c r="A18" s="143" t="inlineStr">
        <is>
          <t>MIN 01-03: CHECK STATUS</t>
        </is>
      </c>
      <c r="B18" s="91" t="inlineStr">
        <is>
          <t>Cine este prezent? Ce s-a finalizat ieri? (Validare rapida cu magneti)</t>
        </is>
      </c>
      <c r="C18" s="5" t="n"/>
      <c r="D18" s="5" t="n"/>
      <c r="E18" s="5" t="n"/>
      <c r="F18" s="5" t="n"/>
      <c r="G18" s="5" t="n"/>
      <c r="H18" s="5" t="n"/>
      <c r="I18" s="5" t="n"/>
      <c r="J18" s="6" t="n"/>
    </row>
    <row r="19" ht="20" customHeight="1">
      <c r="A19" s="143" t="inlineStr">
        <is>
          <t>MIN 04-08: FLUX REVIEW</t>
        </is>
      </c>
      <c r="B19" s="91" t="inlineStr">
        <is>
          <t>Traversare board coloana cu coloana: ce se misca azi? Cine blocheaza?</t>
        </is>
      </c>
      <c r="C19" s="5" t="n"/>
      <c r="D19" s="5" t="n"/>
      <c r="E19" s="5" t="n"/>
      <c r="F19" s="5" t="n"/>
      <c r="G19" s="5" t="n"/>
      <c r="H19" s="5" t="n"/>
      <c r="I19" s="5" t="n"/>
      <c r="J19" s="6" t="n"/>
    </row>
    <row r="20" ht="20" customHeight="1">
      <c r="A20" s="143" t="inlineStr">
        <is>
          <t>MIN 09-12: BLOCAJE</t>
        </is>
      </c>
      <c r="B20" s="91" t="inlineStr">
        <is>
          <t>Fiecare cartonas rosu = 1 min max. Cine rezolva? Pana cand?</t>
        </is>
      </c>
      <c r="C20" s="5" t="n"/>
      <c r="D20" s="5" t="n"/>
      <c r="E20" s="5" t="n"/>
      <c r="F20" s="5" t="n"/>
      <c r="G20" s="5" t="n"/>
      <c r="H20" s="5" t="n"/>
      <c r="I20" s="5" t="n"/>
      <c r="J20" s="6" t="n"/>
    </row>
    <row r="21" ht="20" customHeight="1">
      <c r="A21" s="143" t="inlineStr">
        <is>
          <t>MIN 13-16: PDCA UPDATE</t>
        </is>
      </c>
      <c r="B21" s="91" t="inlineStr">
        <is>
          <t>Statusul actiunilor deschise. Se inchid cele rezolvate.</t>
        </is>
      </c>
      <c r="C21" s="5" t="n"/>
      <c r="D21" s="5" t="n"/>
      <c r="E21" s="5" t="n"/>
      <c r="F21" s="5" t="n"/>
      <c r="G21" s="5" t="n"/>
      <c r="H21" s="5" t="n"/>
      <c r="I21" s="5" t="n"/>
      <c r="J21" s="6" t="n"/>
    </row>
    <row r="22" ht="24" customHeight="1">
      <c r="A22" s="143" t="inlineStr">
        <is>
          <t>MIN 17-20: DECIZIE / ESCALADARE</t>
        </is>
      </c>
      <c r="B22" s="91" t="inlineStr">
        <is>
          <t>Ce escaladeaza azi? Ce se promite pentru maine?</t>
        </is>
      </c>
      <c r="C22" s="5" t="n"/>
      <c r="D22" s="5" t="n"/>
      <c r="E22" s="5" t="n"/>
      <c r="F22" s="5" t="n"/>
      <c r="G22" s="5" t="n"/>
      <c r="H22" s="5" t="n"/>
      <c r="I22" s="5" t="n"/>
      <c r="J22" s="6" t="n"/>
    </row>
    <row r="23" ht="20" customHeight="1">
      <c r="A23" s="43" t="inlineStr">
        <is>
          <t>▸ LOGICA DE ESCALADARE</t>
        </is>
      </c>
      <c r="B23" s="5" t="n"/>
      <c r="C23" s="5" t="n"/>
      <c r="D23" s="5" t="n"/>
      <c r="E23" s="5" t="n"/>
      <c r="F23" s="5" t="n"/>
      <c r="G23" s="5" t="n"/>
      <c r="H23" s="5" t="n"/>
      <c r="I23" s="5" t="n"/>
      <c r="J23" s="147" t="n"/>
    </row>
    <row r="24" ht="20" customHeight="1">
      <c r="A24" s="142" t="inlineStr">
        <is>
          <t>NIVEL 1 - Sef echipa</t>
        </is>
      </c>
      <c r="B24" s="91" t="inlineStr">
        <is>
          <t>Blocaj rezolvabil in &lt;4 ore fara resurse extra</t>
        </is>
      </c>
      <c r="C24" s="5" t="n"/>
      <c r="D24" s="5" t="n"/>
      <c r="E24" s="5" t="n"/>
      <c r="F24" s="5" t="n"/>
      <c r="G24" s="5" t="n"/>
      <c r="H24" s="5" t="n"/>
      <c r="I24" s="5" t="n"/>
      <c r="J24" s="6" t="n"/>
    </row>
    <row r="25" ht="20" customHeight="1">
      <c r="A25" s="143" t="inlineStr">
        <is>
          <t>NIVEL 2 - Sef productie</t>
        </is>
      </c>
      <c r="B25" s="91" t="inlineStr">
        <is>
          <t>Blocaj &gt;4 ore SAU implica alt departament SAU aprovizionare</t>
        </is>
      </c>
      <c r="C25" s="5" t="n"/>
      <c r="D25" s="5" t="n"/>
      <c r="E25" s="5" t="n"/>
      <c r="F25" s="5" t="n"/>
      <c r="G25" s="5" t="n"/>
      <c r="H25" s="5" t="n"/>
      <c r="I25" s="5" t="n"/>
      <c r="J25" s="6" t="n"/>
    </row>
    <row r="26" ht="24" customHeight="1">
      <c r="A26" s="141" t="inlineStr">
        <is>
          <t>NIVEL 3 - Director general</t>
        </is>
      </c>
      <c r="B26" s="91" t="inlineStr">
        <is>
          <t>Blocaj &gt;1 zi SAU risc livrare proiect SAU cost suplimentar major</t>
        </is>
      </c>
      <c r="C26" s="5" t="n"/>
      <c r="D26" s="5" t="n"/>
      <c r="E26" s="5" t="n"/>
      <c r="F26" s="5" t="n"/>
      <c r="G26" s="5" t="n"/>
      <c r="H26" s="5" t="n"/>
      <c r="I26" s="5" t="n"/>
      <c r="J26" s="6" t="n"/>
    </row>
    <row r="27" ht="20" customHeight="1">
      <c r="A27" s="26" t="inlineStr">
        <is>
          <t>▸ FRECVENTA REVIEW</t>
        </is>
      </c>
      <c r="B27" s="5" t="n"/>
      <c r="C27" s="5" t="n"/>
      <c r="D27" s="5" t="n"/>
      <c r="E27" s="5" t="n"/>
      <c r="F27" s="5" t="n"/>
      <c r="G27" s="5" t="n"/>
      <c r="H27" s="5" t="n"/>
      <c r="I27" s="5" t="n"/>
      <c r="J27" s="147" t="n"/>
    </row>
    <row r="28" ht="20" customHeight="1">
      <c r="A28" s="67" t="inlineStr">
        <is>
          <t>ZILNIC (sedinta 08:00)</t>
        </is>
      </c>
      <c r="B28" s="91" t="inlineStr">
        <is>
          <t>Update magneti, review blocaje, PDCA activ — 15-20 min</t>
        </is>
      </c>
      <c r="C28" s="5" t="n"/>
      <c r="D28" s="5" t="n"/>
      <c r="E28" s="5" t="n"/>
      <c r="F28" s="5" t="n"/>
      <c r="G28" s="5" t="n"/>
      <c r="H28" s="5" t="n"/>
      <c r="I28" s="5" t="n"/>
      <c r="J28" s="6" t="n"/>
    </row>
    <row r="29" ht="20" customHeight="1">
      <c r="A29" s="67" t="inlineStr">
        <is>
          <t>SAPTAMANAL (Luni 08:30)</t>
        </is>
      </c>
      <c r="B29" s="91" t="inlineStr">
        <is>
          <t>KPI saptamanal, lead time, eficienta echipe, planificare saptamana</t>
        </is>
      </c>
      <c r="C29" s="5" t="n"/>
      <c r="D29" s="5" t="n"/>
      <c r="E29" s="5" t="n"/>
      <c r="F29" s="5" t="n"/>
      <c r="G29" s="5" t="n"/>
      <c r="H29" s="5" t="n"/>
      <c r="I29" s="5" t="n"/>
      <c r="J29" s="6" t="n"/>
    </row>
    <row r="30" ht="24" customHeight="1">
      <c r="A30" s="67" t="inlineStr">
        <is>
          <t>LUNAR (prima zi lucratoare)</t>
        </is>
      </c>
      <c r="B30" s="91" t="inlineStr">
        <is>
          <t>Review Hoshin Kanri, inchidere PDCA, analiza tendinte, obiective luna</t>
        </is>
      </c>
      <c r="C30" s="5" t="n"/>
      <c r="D30" s="5" t="n"/>
      <c r="E30" s="5" t="n"/>
      <c r="F30" s="5" t="n"/>
      <c r="G30" s="5" t="n"/>
      <c r="H30" s="5" t="n"/>
      <c r="I30" s="5" t="n"/>
      <c r="J30" s="6" t="n"/>
    </row>
    <row r="31" ht="20" customHeight="1">
      <c r="A31" s="145" t="inlineStr">
        <is>
          <t>▸ INDICATORI CHEIE (KPIs)</t>
        </is>
      </c>
      <c r="B31" s="5" t="n"/>
      <c r="C31" s="5" t="n"/>
      <c r="D31" s="5" t="n"/>
      <c r="E31" s="5" t="n"/>
      <c r="F31" s="5" t="n"/>
      <c r="G31" s="5" t="n"/>
      <c r="H31" s="5" t="n"/>
      <c r="I31" s="5" t="n"/>
      <c r="J31" s="147" t="n"/>
    </row>
    <row r="32" ht="20" customHeight="1">
      <c r="A32" s="107" t="inlineStr">
        <is>
          <t>FTT - First Time Through</t>
        </is>
      </c>
      <c r="B32" s="91" t="inlineStr">
        <is>
          <t>% subansambluri care trec prin flux fara retucare sau blocare</t>
        </is>
      </c>
      <c r="C32" s="5" t="n"/>
      <c r="D32" s="5" t="n"/>
      <c r="E32" s="5" t="n"/>
      <c r="F32" s="5" t="n"/>
      <c r="G32" s="5" t="n"/>
      <c r="H32" s="5" t="n"/>
      <c r="I32" s="5" t="n"/>
      <c r="J32" s="6" t="n"/>
    </row>
    <row r="33" ht="20" customHeight="1">
      <c r="A33" s="107" t="inlineStr">
        <is>
          <t>TAKT TIME departament</t>
        </is>
      </c>
      <c r="B33" s="91" t="inlineStr">
        <is>
          <t>Nr SA de procesat / ore disponibile departament = ritmul necesar</t>
        </is>
      </c>
      <c r="C33" s="5" t="n"/>
      <c r="D33" s="5" t="n"/>
      <c r="E33" s="5" t="n"/>
      <c r="F33" s="5" t="n"/>
      <c r="G33" s="5" t="n"/>
      <c r="H33" s="5" t="n"/>
      <c r="I33" s="5" t="n"/>
      <c r="J33" s="6" t="n"/>
    </row>
    <row r="34" ht="20" customHeight="1">
      <c r="A34" s="107" t="inlineStr">
        <is>
          <t>WIP (Work in Progress)</t>
        </is>
      </c>
      <c r="B34" s="91" t="inlineStr">
        <is>
          <t>Nr SA aflate simultan in productie — control la max 3 per dept</t>
        </is>
      </c>
      <c r="C34" s="5" t="n"/>
      <c r="D34" s="5" t="n"/>
      <c r="E34" s="5" t="n"/>
      <c r="F34" s="5" t="n"/>
      <c r="G34" s="5" t="n"/>
      <c r="H34" s="5" t="n"/>
      <c r="I34" s="5" t="n"/>
      <c r="J34" s="6" t="n"/>
    </row>
    <row r="35" ht="20" customHeight="1">
      <c r="A35" s="107" t="inlineStr">
        <is>
          <t>LEAD TIME</t>
        </is>
      </c>
      <c r="B35" s="91" t="inlineStr">
        <is>
          <t>Timp de la intrare in LASER pana la iesire din VOPSIT per SA</t>
        </is>
      </c>
      <c r="C35" s="5" t="n"/>
      <c r="D35" s="5" t="n"/>
      <c r="E35" s="5" t="n"/>
      <c r="F35" s="5" t="n"/>
      <c r="G35" s="5" t="n"/>
      <c r="H35" s="5" t="n"/>
      <c r="I35" s="5" t="n"/>
      <c r="J35" s="6" t="n"/>
    </row>
    <row r="36">
      <c r="A36" s="107" t="inlineStr">
        <is>
          <t>OEE departament</t>
        </is>
      </c>
      <c r="B36" s="91" t="inlineStr">
        <is>
          <t>Disponibilitate x Performanta x Calitate — target &gt;85%</t>
        </is>
      </c>
      <c r="C36" s="5" t="n"/>
      <c r="D36" s="5" t="n"/>
      <c r="E36" s="5" t="n"/>
      <c r="F36" s="5" t="n"/>
      <c r="G36" s="5" t="n"/>
      <c r="H36" s="5" t="n"/>
      <c r="I36" s="5" t="n"/>
      <c r="J36" s="6" t="n"/>
    </row>
  </sheetData>
  <mergeCells count="34">
    <mergeCell ref="B11:J11"/>
    <mergeCell ref="A22:J22"/>
    <mergeCell ref="B14:J14"/>
    <mergeCell ref="B23:J23"/>
    <mergeCell ref="B17:J17"/>
    <mergeCell ref="B8:J8"/>
    <mergeCell ref="B13:J13"/>
    <mergeCell ref="B29:J29"/>
    <mergeCell ref="B19:J19"/>
    <mergeCell ref="B34:J34"/>
    <mergeCell ref="B10:J10"/>
    <mergeCell ref="B28:J28"/>
    <mergeCell ref="A9:J9"/>
    <mergeCell ref="A30:J30"/>
    <mergeCell ref="B6:J6"/>
    <mergeCell ref="B24:J24"/>
    <mergeCell ref="B15:J15"/>
    <mergeCell ref="B33:J33"/>
    <mergeCell ref="A1:J1"/>
    <mergeCell ref="B5:J5"/>
    <mergeCell ref="B20:J20"/>
    <mergeCell ref="B32:J32"/>
    <mergeCell ref="B35:J35"/>
    <mergeCell ref="B4:J4"/>
    <mergeCell ref="A16:J16"/>
    <mergeCell ref="B7:J7"/>
    <mergeCell ref="B25:J25"/>
    <mergeCell ref="A3:J3"/>
    <mergeCell ref="B31:J31"/>
    <mergeCell ref="B18:J18"/>
    <mergeCell ref="B27:J27"/>
    <mergeCell ref="A26:J26"/>
    <mergeCell ref="B12:J12"/>
    <mergeCell ref="B21:J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2026-05-11T03:04:35Z</dcterms:created>
  <dcterms:modified xmlns:dcterms="http://purl.org/dc/terms/" xmlns:xsi="http://www.w3.org/2001/XMLSchema-instance" xsi:type="dcterms:W3CDTF">2026-05-11T17:07:17Z</dcterms:modified>
</cp:coreProperties>
</file>